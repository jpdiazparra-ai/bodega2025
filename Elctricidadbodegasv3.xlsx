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jonathan.diaz/Desktop/bodega2025/"/>
    </mc:Choice>
  </mc:AlternateContent>
  <xr:revisionPtr revIDLastSave="0" documentId="13_ncr:1_{E62FF5C1-35FF-FD48-99D3-BA55C151866E}" xr6:coauthVersionLast="47" xr6:coauthVersionMax="47" xr10:uidLastSave="{00000000-0000-0000-0000-000000000000}"/>
  <bookViews>
    <workbookView xWindow="0" yWindow="660" windowWidth="29400" windowHeight="17320" activeTab="2" xr2:uid="{00000000-000D-0000-FFFF-FFFF00000000}"/>
  </bookViews>
  <sheets>
    <sheet name="FEB-2026" sheetId="1" r:id="rId1"/>
    <sheet name="MAR-2026" sheetId="5" r:id="rId2"/>
    <sheet name="ABR-20226" sheetId="6" r:id="rId3"/>
    <sheet name="Inputs_Mes" sheetId="2" state="hidden" r:id="rId4"/>
    <sheet name="Boleta_CGE" sheetId="3" state="hidden" r:id="rId5"/>
    <sheet name="Liquidacion" sheetId="4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0" i="6" l="1"/>
  <c r="L30" i="6" s="1"/>
  <c r="H30" i="6"/>
  <c r="I30" i="6" s="1"/>
  <c r="B30" i="6"/>
  <c r="A30" i="6"/>
  <c r="K29" i="6"/>
  <c r="L29" i="6" s="1"/>
  <c r="H29" i="6"/>
  <c r="I29" i="6" s="1"/>
  <c r="B29" i="6"/>
  <c r="A29" i="6"/>
  <c r="K28" i="6"/>
  <c r="L28" i="6" s="1"/>
  <c r="H28" i="6"/>
  <c r="I28" i="6" s="1"/>
  <c r="B28" i="6"/>
  <c r="A28" i="6"/>
  <c r="K27" i="6"/>
  <c r="L27" i="6" s="1"/>
  <c r="H27" i="6"/>
  <c r="I27" i="6" s="1"/>
  <c r="B27" i="6"/>
  <c r="A27" i="6"/>
  <c r="K26" i="6"/>
  <c r="L26" i="6" s="1"/>
  <c r="H26" i="6"/>
  <c r="I26" i="6" s="1"/>
  <c r="B26" i="6"/>
  <c r="A26" i="6"/>
  <c r="K25" i="6"/>
  <c r="L25" i="6" s="1"/>
  <c r="H25" i="6"/>
  <c r="I25" i="6" s="1"/>
  <c r="B25" i="6"/>
  <c r="A25" i="6"/>
  <c r="K24" i="6"/>
  <c r="L24" i="6" s="1"/>
  <c r="H24" i="6"/>
  <c r="I24" i="6" s="1"/>
  <c r="B24" i="6"/>
  <c r="A24" i="6"/>
  <c r="C20" i="6"/>
  <c r="G19" i="6"/>
  <c r="H19" i="6" s="1"/>
  <c r="G18" i="6"/>
  <c r="H18" i="6" s="1"/>
  <c r="G17" i="6"/>
  <c r="H17" i="6" s="1"/>
  <c r="G16" i="6"/>
  <c r="H16" i="6" s="1"/>
  <c r="G15" i="6"/>
  <c r="H15" i="6" s="1"/>
  <c r="G14" i="6"/>
  <c r="H14" i="6" s="1"/>
  <c r="G13" i="6"/>
  <c r="H13" i="6" s="1"/>
  <c r="K30" i="5"/>
  <c r="L30" i="5" s="1"/>
  <c r="H30" i="5"/>
  <c r="I30" i="5" s="1"/>
  <c r="B30" i="5"/>
  <c r="A30" i="5"/>
  <c r="K29" i="5"/>
  <c r="L29" i="5" s="1"/>
  <c r="H29" i="5"/>
  <c r="I29" i="5" s="1"/>
  <c r="B29" i="5"/>
  <c r="A29" i="5"/>
  <c r="K28" i="5"/>
  <c r="L28" i="5" s="1"/>
  <c r="H28" i="5"/>
  <c r="I28" i="5" s="1"/>
  <c r="B28" i="5"/>
  <c r="A28" i="5"/>
  <c r="K27" i="5"/>
  <c r="L27" i="5" s="1"/>
  <c r="H27" i="5"/>
  <c r="I27" i="5" s="1"/>
  <c r="B27" i="5"/>
  <c r="A27" i="5"/>
  <c r="K26" i="5"/>
  <c r="L26" i="5" s="1"/>
  <c r="H26" i="5"/>
  <c r="I26" i="5" s="1"/>
  <c r="B26" i="5"/>
  <c r="A26" i="5"/>
  <c r="K25" i="5"/>
  <c r="L25" i="5" s="1"/>
  <c r="H25" i="5"/>
  <c r="I25" i="5" s="1"/>
  <c r="B25" i="5"/>
  <c r="A25" i="5"/>
  <c r="K24" i="5"/>
  <c r="L24" i="5" s="1"/>
  <c r="H24" i="5"/>
  <c r="I24" i="5" s="1"/>
  <c r="B24" i="5"/>
  <c r="A24" i="5"/>
  <c r="C20" i="5"/>
  <c r="G19" i="5"/>
  <c r="H19" i="5" s="1"/>
  <c r="G18" i="5"/>
  <c r="H18" i="5" s="1"/>
  <c r="G17" i="5"/>
  <c r="H17" i="5" s="1"/>
  <c r="G16" i="5"/>
  <c r="H16" i="5" s="1"/>
  <c r="G15" i="5"/>
  <c r="H15" i="5" s="1"/>
  <c r="G14" i="5"/>
  <c r="H14" i="5" s="1"/>
  <c r="G13" i="5"/>
  <c r="H13" i="5" s="1"/>
  <c r="E24" i="5" s="1"/>
  <c r="K24" i="2"/>
  <c r="L24" i="2" s="1"/>
  <c r="K24" i="1"/>
  <c r="L24" i="1" s="1"/>
  <c r="H24" i="2"/>
  <c r="I24" i="2" s="1"/>
  <c r="I31" i="2" s="1"/>
  <c r="H24" i="1"/>
  <c r="I24" i="1" s="1"/>
  <c r="B24" i="2"/>
  <c r="B24" i="1"/>
  <c r="G13" i="2"/>
  <c r="H13" i="2" s="1"/>
  <c r="I13" i="2" s="1"/>
  <c r="G13" i="1"/>
  <c r="H13" i="1" s="1"/>
  <c r="I13" i="1" s="1"/>
  <c r="L30" i="2"/>
  <c r="L29" i="2"/>
  <c r="L28" i="2"/>
  <c r="L27" i="2"/>
  <c r="L26" i="2"/>
  <c r="L25" i="2"/>
  <c r="J8" i="4"/>
  <c r="K8" i="4" s="1"/>
  <c r="G8" i="4"/>
  <c r="H8" i="4" s="1"/>
  <c r="E8" i="4"/>
  <c r="F8" i="4" s="1"/>
  <c r="B8" i="4"/>
  <c r="J7" i="4"/>
  <c r="K7" i="4" s="1"/>
  <c r="G7" i="4"/>
  <c r="H7" i="4" s="1"/>
  <c r="E7" i="4"/>
  <c r="F7" i="4" s="1"/>
  <c r="B7" i="4"/>
  <c r="J6" i="4"/>
  <c r="K6" i="4" s="1"/>
  <c r="G6" i="4"/>
  <c r="H6" i="4" s="1"/>
  <c r="E6" i="4"/>
  <c r="F6" i="4" s="1"/>
  <c r="B6" i="4"/>
  <c r="J5" i="4"/>
  <c r="K5" i="4" s="1"/>
  <c r="G5" i="4"/>
  <c r="H5" i="4" s="1"/>
  <c r="E5" i="4"/>
  <c r="F5" i="4" s="1"/>
  <c r="B5" i="4"/>
  <c r="J4" i="4"/>
  <c r="K4" i="4" s="1"/>
  <c r="G4" i="4"/>
  <c r="H4" i="4" s="1"/>
  <c r="E4" i="4"/>
  <c r="F4" i="4" s="1"/>
  <c r="B4" i="4"/>
  <c r="J3" i="4"/>
  <c r="K3" i="4" s="1"/>
  <c r="G3" i="4"/>
  <c r="H3" i="4" s="1"/>
  <c r="E3" i="4"/>
  <c r="F3" i="4" s="1"/>
  <c r="B3" i="4"/>
  <c r="J2" i="4" a="1"/>
  <c r="J2" i="4" s="1"/>
  <c r="K2" i="4" s="1"/>
  <c r="G2" i="4" a="1"/>
  <c r="G2" i="4" s="1"/>
  <c r="H2" i="4" s="1"/>
  <c r="E2" i="4" a="1"/>
  <c r="E2" i="4" s="1"/>
  <c r="F2" i="4" s="1"/>
  <c r="B2" i="4"/>
  <c r="K30" i="1"/>
  <c r="L30" i="1" s="1"/>
  <c r="H30" i="1"/>
  <c r="I30" i="1" s="1"/>
  <c r="B30" i="1"/>
  <c r="A30" i="1"/>
  <c r="K29" i="1"/>
  <c r="L29" i="1" s="1"/>
  <c r="H29" i="1"/>
  <c r="I29" i="1" s="1"/>
  <c r="B29" i="1"/>
  <c r="A29" i="1"/>
  <c r="K28" i="1"/>
  <c r="L28" i="1" s="1"/>
  <c r="H28" i="1"/>
  <c r="I28" i="1" s="1"/>
  <c r="B28" i="1"/>
  <c r="A28" i="1"/>
  <c r="K27" i="1"/>
  <c r="L27" i="1" s="1"/>
  <c r="H27" i="1"/>
  <c r="I27" i="1" s="1"/>
  <c r="B27" i="1"/>
  <c r="A27" i="1"/>
  <c r="K26" i="1"/>
  <c r="L26" i="1" s="1"/>
  <c r="H26" i="1"/>
  <c r="I26" i="1" s="1"/>
  <c r="B26" i="1"/>
  <c r="A26" i="1"/>
  <c r="K25" i="1"/>
  <c r="L25" i="1" s="1"/>
  <c r="H25" i="1"/>
  <c r="I25" i="1" s="1"/>
  <c r="B25" i="1"/>
  <c r="A25" i="1"/>
  <c r="A24" i="1"/>
  <c r="C20" i="1"/>
  <c r="G19" i="1"/>
  <c r="H19" i="1" s="1"/>
  <c r="G18" i="1"/>
  <c r="H18" i="1" s="1"/>
  <c r="G17" i="1"/>
  <c r="H17" i="1" s="1"/>
  <c r="G16" i="1"/>
  <c r="H16" i="1" s="1"/>
  <c r="G15" i="1"/>
  <c r="H15" i="1" s="1"/>
  <c r="G14" i="1"/>
  <c r="H14" i="1" s="1"/>
  <c r="C30" i="6" l="1"/>
  <c r="C29" i="6"/>
  <c r="C28" i="6"/>
  <c r="C27" i="6"/>
  <c r="C26" i="6"/>
  <c r="C25" i="6"/>
  <c r="L31" i="6"/>
  <c r="I31" i="6"/>
  <c r="B31" i="6"/>
  <c r="C24" i="6"/>
  <c r="E30" i="6"/>
  <c r="I19" i="6"/>
  <c r="I18" i="6"/>
  <c r="E29" i="6"/>
  <c r="I17" i="6"/>
  <c r="E28" i="6"/>
  <c r="I16" i="6"/>
  <c r="E27" i="6"/>
  <c r="I15" i="6"/>
  <c r="E26" i="6"/>
  <c r="I14" i="6"/>
  <c r="E25" i="6"/>
  <c r="I13" i="6"/>
  <c r="H20" i="6"/>
  <c r="E24" i="6"/>
  <c r="C24" i="2"/>
  <c r="C25" i="2"/>
  <c r="C24" i="5"/>
  <c r="D24" i="5" s="1"/>
  <c r="C26" i="5"/>
  <c r="C30" i="5"/>
  <c r="C29" i="5"/>
  <c r="C28" i="5"/>
  <c r="C27" i="5"/>
  <c r="C25" i="5"/>
  <c r="L31" i="5"/>
  <c r="I31" i="5"/>
  <c r="B31" i="5"/>
  <c r="I19" i="5"/>
  <c r="E30" i="5"/>
  <c r="I18" i="5"/>
  <c r="E29" i="5"/>
  <c r="I17" i="5"/>
  <c r="E28" i="5"/>
  <c r="I16" i="5"/>
  <c r="E27" i="5"/>
  <c r="I15" i="5"/>
  <c r="E26" i="5"/>
  <c r="I14" i="5"/>
  <c r="E25" i="5"/>
  <c r="I13" i="5"/>
  <c r="H20" i="5"/>
  <c r="C25" i="1"/>
  <c r="E24" i="2"/>
  <c r="F24" i="2" s="1"/>
  <c r="G24" i="2" s="1"/>
  <c r="E24" i="1"/>
  <c r="C24" i="1"/>
  <c r="L31" i="2"/>
  <c r="L31" i="1"/>
  <c r="I31" i="1"/>
  <c r="C27" i="1"/>
  <c r="C8" i="4"/>
  <c r="C7" i="4"/>
  <c r="C6" i="4"/>
  <c r="C28" i="1"/>
  <c r="C5" i="4"/>
  <c r="C4" i="4"/>
  <c r="C3" i="4"/>
  <c r="K10" i="4"/>
  <c r="H10" i="4"/>
  <c r="F10" i="4"/>
  <c r="C29" i="1"/>
  <c r="C30" i="1"/>
  <c r="B10" i="4"/>
  <c r="C2" i="4"/>
  <c r="B31" i="1"/>
  <c r="C26" i="1"/>
  <c r="I19" i="1"/>
  <c r="E30" i="1"/>
  <c r="I18" i="1"/>
  <c r="E29" i="1"/>
  <c r="I17" i="1"/>
  <c r="E28" i="1"/>
  <c r="I16" i="1"/>
  <c r="E27" i="1"/>
  <c r="I15" i="1"/>
  <c r="E26" i="1"/>
  <c r="I14" i="1"/>
  <c r="E25" i="1"/>
  <c r="H20" i="1"/>
  <c r="J30" i="6" l="1"/>
  <c r="D30" i="6"/>
  <c r="J29" i="6"/>
  <c r="D29" i="6"/>
  <c r="D24" i="2"/>
  <c r="J24" i="2"/>
  <c r="J31" i="2" s="1"/>
  <c r="J28" i="6"/>
  <c r="D28" i="6"/>
  <c r="D27" i="6"/>
  <c r="J27" i="6"/>
  <c r="D26" i="6"/>
  <c r="J26" i="6"/>
  <c r="D25" i="6"/>
  <c r="J25" i="6"/>
  <c r="F25" i="6"/>
  <c r="G25" i="6" s="1"/>
  <c r="I20" i="6"/>
  <c r="D24" i="6"/>
  <c r="J24" i="6"/>
  <c r="F30" i="6"/>
  <c r="G30" i="6" s="1"/>
  <c r="F28" i="6"/>
  <c r="G28" i="6" s="1"/>
  <c r="F27" i="6"/>
  <c r="G27" i="6" s="1"/>
  <c r="F26" i="6"/>
  <c r="G26" i="6" s="1"/>
  <c r="F24" i="6"/>
  <c r="G24" i="6" s="1"/>
  <c r="F29" i="6"/>
  <c r="G29" i="6" s="1"/>
  <c r="D30" i="5"/>
  <c r="J30" i="5"/>
  <c r="F24" i="5"/>
  <c r="G24" i="5" s="1"/>
  <c r="J29" i="5"/>
  <c r="D29" i="5"/>
  <c r="D26" i="5"/>
  <c r="J26" i="5"/>
  <c r="D28" i="5"/>
  <c r="J28" i="5"/>
  <c r="I20" i="5"/>
  <c r="D27" i="5"/>
  <c r="J27" i="5"/>
  <c r="D25" i="5"/>
  <c r="J25" i="5"/>
  <c r="J24" i="5"/>
  <c r="F30" i="5"/>
  <c r="G30" i="5" s="1"/>
  <c r="F29" i="5"/>
  <c r="G29" i="5" s="1"/>
  <c r="F28" i="5"/>
  <c r="G28" i="5" s="1"/>
  <c r="F27" i="5"/>
  <c r="G27" i="5" s="1"/>
  <c r="F26" i="5"/>
  <c r="G26" i="5" s="1"/>
  <c r="F25" i="5"/>
  <c r="G25" i="5" s="1"/>
  <c r="D24" i="1"/>
  <c r="J24" i="1"/>
  <c r="F24" i="1"/>
  <c r="G24" i="1" s="1"/>
  <c r="G31" i="2"/>
  <c r="D29" i="1"/>
  <c r="J29" i="1"/>
  <c r="D25" i="1"/>
  <c r="J25" i="1"/>
  <c r="D30" i="1"/>
  <c r="J30" i="1"/>
  <c r="D27" i="1"/>
  <c r="J27" i="1"/>
  <c r="D8" i="4"/>
  <c r="I8" i="4"/>
  <c r="D7" i="4"/>
  <c r="I7" i="4"/>
  <c r="D6" i="4"/>
  <c r="I6" i="4"/>
  <c r="D28" i="1"/>
  <c r="J28" i="1"/>
  <c r="D5" i="4"/>
  <c r="I5" i="4"/>
  <c r="D4" i="4"/>
  <c r="I4" i="4"/>
  <c r="D3" i="4"/>
  <c r="I3" i="4"/>
  <c r="F27" i="1"/>
  <c r="G27" i="1" s="1"/>
  <c r="D2" i="4"/>
  <c r="I2" i="4"/>
  <c r="D26" i="1"/>
  <c r="J26" i="1"/>
  <c r="F30" i="1"/>
  <c r="G30" i="1" s="1"/>
  <c r="F29" i="1"/>
  <c r="G29" i="1" s="1"/>
  <c r="F28" i="1"/>
  <c r="G28" i="1" s="1"/>
  <c r="F26" i="1"/>
  <c r="G26" i="1" s="1"/>
  <c r="F25" i="1"/>
  <c r="G25" i="1" s="1"/>
  <c r="I20" i="1"/>
  <c r="M30" i="6" l="1"/>
  <c r="N30" i="6" s="1"/>
  <c r="O30" i="6" s="1"/>
  <c r="M29" i="6"/>
  <c r="N29" i="6" s="1"/>
  <c r="O29" i="6" s="1"/>
  <c r="D31" i="2"/>
  <c r="M24" i="2"/>
  <c r="J31" i="6"/>
  <c r="M28" i="6"/>
  <c r="N28" i="6" s="1"/>
  <c r="O28" i="6" s="1"/>
  <c r="M25" i="6"/>
  <c r="N25" i="6" s="1"/>
  <c r="O25" i="6" s="1"/>
  <c r="M27" i="6"/>
  <c r="N27" i="6" s="1"/>
  <c r="O27" i="6" s="1"/>
  <c r="M26" i="6"/>
  <c r="N26" i="6" s="1"/>
  <c r="O26" i="6" s="1"/>
  <c r="D31" i="6"/>
  <c r="M24" i="6"/>
  <c r="G31" i="6"/>
  <c r="M30" i="5"/>
  <c r="N30" i="5" s="1"/>
  <c r="O30" i="5" s="1"/>
  <c r="J31" i="5"/>
  <c r="M29" i="5"/>
  <c r="N29" i="5" s="1"/>
  <c r="O29" i="5" s="1"/>
  <c r="M28" i="5"/>
  <c r="N28" i="5" s="1"/>
  <c r="O28" i="5" s="1"/>
  <c r="M27" i="5"/>
  <c r="N27" i="5" s="1"/>
  <c r="O27" i="5" s="1"/>
  <c r="M26" i="5"/>
  <c r="N26" i="5" s="1"/>
  <c r="O26" i="5" s="1"/>
  <c r="M24" i="5"/>
  <c r="D31" i="5"/>
  <c r="M25" i="5"/>
  <c r="G31" i="5"/>
  <c r="M24" i="1"/>
  <c r="J31" i="1"/>
  <c r="G31" i="1"/>
  <c r="D31" i="1"/>
  <c r="M30" i="1"/>
  <c r="M29" i="1"/>
  <c r="N29" i="1" s="1"/>
  <c r="O29" i="1" s="1"/>
  <c r="M25" i="1"/>
  <c r="N25" i="1" s="1"/>
  <c r="O25" i="1" s="1"/>
  <c r="L7" i="4"/>
  <c r="M7" i="4" s="1"/>
  <c r="L5" i="4"/>
  <c r="M5" i="4" s="1"/>
  <c r="L4" i="4"/>
  <c r="M4" i="4" s="1"/>
  <c r="L3" i="4"/>
  <c r="M3" i="4" s="1"/>
  <c r="M28" i="1"/>
  <c r="N28" i="1" s="1"/>
  <c r="O28" i="1" s="1"/>
  <c r="L6" i="4"/>
  <c r="M6" i="4" s="1"/>
  <c r="M27" i="1"/>
  <c r="N27" i="1" s="1"/>
  <c r="O27" i="1" s="1"/>
  <c r="I10" i="4"/>
  <c r="L8" i="4"/>
  <c r="M8" i="4" s="1"/>
  <c r="M26" i="1"/>
  <c r="N26" i="1" s="1"/>
  <c r="O26" i="1" s="1"/>
  <c r="L2" i="4"/>
  <c r="D10" i="4"/>
  <c r="N24" i="6" l="1"/>
  <c r="M31" i="6"/>
  <c r="N24" i="5"/>
  <c r="O24" i="5" s="1"/>
  <c r="M31" i="5"/>
  <c r="N25" i="5"/>
  <c r="O25" i="5" s="1"/>
  <c r="N30" i="1"/>
  <c r="O30" i="1" s="1"/>
  <c r="M2" i="4"/>
  <c r="L10" i="4"/>
  <c r="M10" i="4" s="1"/>
  <c r="N24" i="1"/>
  <c r="M31" i="1"/>
  <c r="N31" i="6" l="1"/>
  <c r="O24" i="6"/>
  <c r="O31" i="6" s="1"/>
  <c r="O31" i="5"/>
  <c r="N31" i="5"/>
  <c r="N31" i="1"/>
  <c r="O24" i="1"/>
  <c r="O31" i="1" s="1"/>
</calcChain>
</file>

<file path=xl/sharedStrings.xml><?xml version="1.0" encoding="utf-8"?>
<sst xmlns="http://schemas.openxmlformats.org/spreadsheetml/2006/main" count="314" uniqueCount="74">
  <si>
    <t>INPUTS GENERALES</t>
  </si>
  <si>
    <t>BOLETA CGE (INPUTS DE FACTURACIÓN)</t>
  </si>
  <si>
    <t>Tarifa base día ($/kWh)</t>
  </si>
  <si>
    <t>CLP/kWh</t>
  </si>
  <si>
    <t>Concepto</t>
  </si>
  <si>
    <t>Monto $</t>
  </si>
  <si>
    <t>Hora inicio jornada (Input)</t>
  </si>
  <si>
    <t>08:00</t>
  </si>
  <si>
    <t>hh:mm</t>
  </si>
  <si>
    <t>Electricidad Consumida $</t>
  </si>
  <si>
    <t>Hora inicio horario especial</t>
  </si>
  <si>
    <t>18:00</t>
  </si>
  <si>
    <t>Potencia Punta $</t>
  </si>
  <si>
    <t>Factor horario especial (&gt;18:00)</t>
  </si>
  <si>
    <t>–</t>
  </si>
  <si>
    <t>Multa Reactiva $</t>
  </si>
  <si>
    <t>IVA</t>
  </si>
  <si>
    <t>%</t>
  </si>
  <si>
    <t>Cargos Fijos $</t>
  </si>
  <si>
    <t>Intereses/Mora $</t>
  </si>
  <si>
    <t>INPUTS POR BODEGA (REMARCADOR + HORARIO EFECTIVO)</t>
  </si>
  <si>
    <t>Bodega</t>
  </si>
  <si>
    <t>Giro</t>
  </si>
  <si>
    <t>kWh Remarcador</t>
  </si>
  <si>
    <t>Hora salida (Input)</t>
  </si>
  <si>
    <t>Carga inductiva (SI/NO)</t>
  </si>
  <si>
    <t>Pago con atraso (SI/NO)</t>
  </si>
  <si>
    <t>% post-18 (calc)</t>
  </si>
  <si>
    <t>kWh post-18 (calc)</t>
  </si>
  <si>
    <t>kWh día (calc)</t>
  </si>
  <si>
    <t>E-1</t>
  </si>
  <si>
    <t>Mantención autos</t>
  </si>
  <si>
    <t>SI</t>
  </si>
  <si>
    <t>NO</t>
  </si>
  <si>
    <t>E-2</t>
  </si>
  <si>
    <t>Equipamiento eléctrico</t>
  </si>
  <si>
    <t>E-3</t>
  </si>
  <si>
    <t>Matricería</t>
  </si>
  <si>
    <t>E-4</t>
  </si>
  <si>
    <t>E-5</t>
  </si>
  <si>
    <t>Torno CNC</t>
  </si>
  <si>
    <t>E-6</t>
  </si>
  <si>
    <t>Torno/Fresadora</t>
  </si>
  <si>
    <t>E-7</t>
  </si>
  <si>
    <t>Soldadura</t>
  </si>
  <si>
    <t>TOTAL</t>
  </si>
  <si>
    <t>LIQUIDACIÓN POR BODEGA (ASIGNACIÓN DE COSTOS DE BOLETA + CRITERIO HORARIO)</t>
  </si>
  <si>
    <t>kWh</t>
  </si>
  <si>
    <t>% Energía</t>
  </si>
  <si>
    <t>$ Energía</t>
  </si>
  <si>
    <t>kWh post-18</t>
  </si>
  <si>
    <t>% Punta (calc)</t>
  </si>
  <si>
    <t>$ Punta</t>
  </si>
  <si>
    <t>% Reactiva</t>
  </si>
  <si>
    <t>$ Reactiva</t>
  </si>
  <si>
    <t>$ Cargos Fijos</t>
  </si>
  <si>
    <t>% Interés</t>
  </si>
  <si>
    <t>$ Interés</t>
  </si>
  <si>
    <t>TOTAL NETO $</t>
  </si>
  <si>
    <t>TOTAL c/IVA $</t>
  </si>
  <si>
    <t>Nota metodológica: % Punta se calcula proporcionalmente al kWh post-18 (según Hora salida por bodega). Reactiva se asigna a bodegas con carga inductiva. Intereses/Mora se asigna solo a responsables marcados con atraso.</t>
  </si>
  <si>
    <t>Usa después 18:00 (SI/NO)</t>
  </si>
  <si>
    <t>Nota operativa:</t>
  </si>
  <si>
    <t>Regla: se permite operar hasta 18:00. Si opera después, marcar SI en columna D.</t>
  </si>
  <si>
    <t>Detalle cargos fijos (referencia boleta)</t>
  </si>
  <si>
    <t>Administración del Servicio</t>
  </si>
  <si>
    <t>Transporte de Electricidad</t>
  </si>
  <si>
    <t>Cargo por Servicio Público</t>
  </si>
  <si>
    <t>Fondo Estabilización Ley 21.472</t>
  </si>
  <si>
    <t>% Punta</t>
  </si>
  <si>
    <t>TOTAL NETO$</t>
  </si>
  <si>
    <t>Nota: Intereses/Mora</t>
  </si>
  <si>
    <t>Boleta_CGE!E2 se asigna manualmente al responsable del atraso (no se prorratea).</t>
  </si>
  <si>
    <t>Liquidación Eléctrica por Bodega – Metodología de Ingeniería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</si>
</sst>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$&quot;* #,##0_ ;_ &quot;$&quot;* \-#,##0_ ;_ &quot;$&quot;* &quot;-&quot;_ ;_ @_ "/>
    <numFmt numFmtId="164" formatCode="&quot;$&quot;#,##0"/>
    <numFmt numFmtId="165" formatCode="hh:mm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i/>
      <sz val="11"/>
      <color rgb="FF40404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F4E79"/>
      </patternFill>
    </fill>
    <fill>
      <patternFill patternType="solid">
        <fgColor rgb="FF1F4E79"/>
      </patternFill>
    </fill>
    <fill>
      <patternFill patternType="solid">
        <fgColor rgb="FF2F5597"/>
      </patternFill>
    </fill>
    <fill>
      <patternFill patternType="solid">
        <fgColor rgb="FFFFF2CC"/>
      </patternFill>
    </fill>
    <fill>
      <patternFill patternType="solid">
        <fgColor rgb="FF305496"/>
      </patternFill>
    </fill>
    <fill>
      <patternFill patternType="solid">
        <fgColor rgb="FFE7E6E6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/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rgb="FF9E9E9E"/>
      </right>
      <top style="thin">
        <color rgb="FF9E9E9E"/>
      </top>
      <bottom/>
      <diagonal/>
    </border>
  </borders>
  <cellStyleXfs count="3">
    <xf numFmtId="0" fontId="0" fillId="0" borderId="0"/>
    <xf numFmtId="42" fontId="4" fillId="0" borderId="0"/>
    <xf numFmtId="9" fontId="4" fillId="0" borderId="0"/>
  </cellStyleXfs>
  <cellXfs count="7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/>
    <xf numFmtId="164" fontId="0" fillId="0" borderId="1" xfId="0" applyNumberFormat="1" applyBorder="1"/>
    <xf numFmtId="164" fontId="2" fillId="0" borderId="1" xfId="0" applyNumberFormat="1" applyFont="1" applyBorder="1"/>
    <xf numFmtId="0" fontId="2" fillId="0" borderId="0" xfId="0" applyFont="1"/>
    <xf numFmtId="42" fontId="0" fillId="0" borderId="0" xfId="1" applyFont="1"/>
    <xf numFmtId="0" fontId="1" fillId="2" borderId="5" xfId="0" applyFont="1" applyFill="1" applyBorder="1" applyAlignment="1">
      <alignment horizontal="center" vertical="center" wrapText="1"/>
    </xf>
    <xf numFmtId="42" fontId="3" fillId="3" borderId="5" xfId="1" applyFont="1" applyFill="1" applyBorder="1" applyAlignment="1">
      <alignment horizontal="center" vertical="center"/>
    </xf>
    <xf numFmtId="0" fontId="0" fillId="0" borderId="5" xfId="0" applyBorder="1"/>
    <xf numFmtId="3" fontId="0" fillId="0" borderId="5" xfId="0" applyNumberFormat="1" applyBorder="1"/>
    <xf numFmtId="10" fontId="0" fillId="0" borderId="5" xfId="0" applyNumberFormat="1" applyBorder="1"/>
    <xf numFmtId="42" fontId="0" fillId="0" borderId="5" xfId="1" applyFont="1" applyBorder="1"/>
    <xf numFmtId="0" fontId="2" fillId="0" borderId="5" xfId="0" applyFont="1" applyBorder="1" applyAlignment="1">
      <alignment horizontal="right" vertical="center"/>
    </xf>
    <xf numFmtId="3" fontId="2" fillId="0" borderId="5" xfId="0" applyNumberFormat="1" applyFont="1" applyBorder="1" applyAlignment="1">
      <alignment horizontal="right" vertical="center"/>
    </xf>
    <xf numFmtId="0" fontId="2" fillId="0" borderId="5" xfId="0" applyFont="1" applyBorder="1" applyAlignment="1">
      <alignment horizontal="center" vertical="center" wrapText="1"/>
    </xf>
    <xf numFmtId="42" fontId="2" fillId="0" borderId="5" xfId="1" applyFont="1" applyBorder="1" applyAlignment="1">
      <alignment horizontal="right" vertical="center"/>
    </xf>
    <xf numFmtId="42" fontId="2" fillId="0" borderId="5" xfId="1" applyFont="1" applyBorder="1" applyAlignment="1">
      <alignment horizontal="center" vertical="center" wrapText="1"/>
    </xf>
    <xf numFmtId="9" fontId="3" fillId="3" borderId="5" xfId="2" applyFont="1" applyFill="1" applyBorder="1" applyAlignment="1">
      <alignment horizontal="center" vertical="center"/>
    </xf>
    <xf numFmtId="9" fontId="0" fillId="0" borderId="5" xfId="2" applyFont="1" applyBorder="1"/>
    <xf numFmtId="9" fontId="0" fillId="0" borderId="0" xfId="2" applyFont="1"/>
    <xf numFmtId="42" fontId="5" fillId="0" borderId="5" xfId="1" applyFont="1" applyBorder="1"/>
    <xf numFmtId="0" fontId="7" fillId="0" borderId="0" xfId="0" applyFont="1"/>
    <xf numFmtId="0" fontId="1" fillId="7" borderId="6" xfId="0" applyFont="1" applyFill="1" applyBorder="1" applyAlignment="1">
      <alignment horizontal="center" vertical="center" wrapText="1"/>
    </xf>
    <xf numFmtId="9" fontId="7" fillId="0" borderId="0" xfId="0" applyNumberFormat="1" applyFont="1"/>
    <xf numFmtId="0" fontId="1" fillId="3" borderId="4" xfId="0" applyFont="1" applyFill="1" applyBorder="1" applyAlignment="1">
      <alignment horizontal="center" vertical="center"/>
    </xf>
    <xf numFmtId="0" fontId="7" fillId="0" borderId="1" xfId="0" applyFont="1" applyBorder="1"/>
    <xf numFmtId="3" fontId="7" fillId="0" borderId="1" xfId="0" applyNumberFormat="1" applyFont="1" applyBorder="1"/>
    <xf numFmtId="0" fontId="7" fillId="0" borderId="4" xfId="0" applyFont="1" applyBorder="1" applyAlignment="1">
      <alignment horizontal="center" vertical="center"/>
    </xf>
    <xf numFmtId="19" fontId="7" fillId="0" borderId="0" xfId="0" applyNumberFormat="1" applyFont="1"/>
    <xf numFmtId="0" fontId="8" fillId="0" borderId="6" xfId="0" applyFont="1" applyBorder="1" applyAlignment="1">
      <alignment horizontal="left" vertical="center" wrapText="1"/>
    </xf>
    <xf numFmtId="3" fontId="8" fillId="6" borderId="6" xfId="0" applyNumberFormat="1" applyFont="1" applyFill="1" applyBorder="1" applyAlignment="1">
      <alignment horizontal="center" vertical="center" wrapText="1"/>
    </xf>
    <xf numFmtId="165" fontId="8" fillId="6" borderId="6" xfId="0" applyNumberFormat="1" applyFont="1" applyFill="1" applyBorder="1" applyAlignment="1">
      <alignment horizontal="center" vertical="center" wrapText="1"/>
    </xf>
    <xf numFmtId="3" fontId="8" fillId="6" borderId="6" xfId="0" applyNumberFormat="1" applyFont="1" applyFill="1" applyBorder="1" applyAlignment="1">
      <alignment horizontal="right" vertical="center" wrapText="1"/>
    </xf>
    <xf numFmtId="0" fontId="8" fillId="6" borderId="6" xfId="0" applyFont="1" applyFill="1" applyBorder="1" applyAlignment="1">
      <alignment horizontal="center" vertical="center" wrapText="1"/>
    </xf>
    <xf numFmtId="2" fontId="8" fillId="6" borderId="6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4" fontId="8" fillId="0" borderId="6" xfId="0" applyNumberFormat="1" applyFont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3" fontId="2" fillId="8" borderId="6" xfId="0" applyNumberFormat="1" applyFont="1" applyFill="1" applyBorder="1" applyAlignment="1">
      <alignment horizontal="center" vertical="center" wrapText="1"/>
    </xf>
    <xf numFmtId="4" fontId="2" fillId="8" borderId="6" xfId="0" applyNumberFormat="1" applyFont="1" applyFill="1" applyBorder="1" applyAlignment="1">
      <alignment horizontal="center" vertical="center" wrapText="1"/>
    </xf>
    <xf numFmtId="10" fontId="8" fillId="0" borderId="6" xfId="0" applyNumberFormat="1" applyFont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42" fontId="4" fillId="0" borderId="5" xfId="1" applyBorder="1"/>
    <xf numFmtId="0" fontId="8" fillId="0" borderId="5" xfId="0" applyFont="1" applyBorder="1" applyAlignment="1">
      <alignment horizontal="left" vertical="center" wrapText="1"/>
    </xf>
    <xf numFmtId="3" fontId="8" fillId="0" borderId="5" xfId="0" applyNumberFormat="1" applyFont="1" applyBorder="1" applyAlignment="1">
      <alignment horizontal="center" vertical="center" wrapText="1"/>
    </xf>
    <xf numFmtId="10" fontId="8" fillId="0" borderId="5" xfId="0" applyNumberFormat="1" applyFont="1" applyBorder="1" applyAlignment="1">
      <alignment horizontal="center" vertical="center" wrapText="1"/>
    </xf>
    <xf numFmtId="4" fontId="8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/>
    <xf numFmtId="0" fontId="2" fillId="11" borderId="5" xfId="0" applyFont="1" applyFill="1" applyBorder="1" applyAlignment="1">
      <alignment horizontal="center" vertical="center" wrapText="1"/>
    </xf>
    <xf numFmtId="42" fontId="4" fillId="11" borderId="5" xfId="1" applyFill="1" applyBorder="1"/>
    <xf numFmtId="0" fontId="7" fillId="11" borderId="5" xfId="0" applyFont="1" applyFill="1" applyBorder="1"/>
    <xf numFmtId="0" fontId="8" fillId="0" borderId="9" xfId="0" applyFont="1" applyBorder="1" applyAlignment="1">
      <alignment horizontal="left" vertical="center" wrapText="1"/>
    </xf>
    <xf numFmtId="3" fontId="8" fillId="0" borderId="9" xfId="0" applyNumberFormat="1" applyFont="1" applyBorder="1" applyAlignment="1">
      <alignment horizontal="center" vertical="center" wrapText="1"/>
    </xf>
    <xf numFmtId="10" fontId="8" fillId="0" borderId="9" xfId="0" applyNumberFormat="1" applyFont="1" applyBorder="1" applyAlignment="1">
      <alignment horizontal="center" vertical="center" wrapText="1"/>
    </xf>
    <xf numFmtId="42" fontId="4" fillId="0" borderId="9" xfId="1" applyBorder="1"/>
    <xf numFmtId="4" fontId="8" fillId="0" borderId="9" xfId="0" applyNumberFormat="1" applyFont="1" applyBorder="1" applyAlignment="1">
      <alignment horizontal="center" vertical="center" wrapText="1"/>
    </xf>
    <xf numFmtId="0" fontId="7" fillId="0" borderId="9" xfId="0" applyFont="1" applyBorder="1"/>
    <xf numFmtId="164" fontId="8" fillId="9" borderId="7" xfId="0" applyNumberFormat="1" applyFont="1" applyFill="1" applyBorder="1" applyAlignment="1">
      <alignment horizontal="center" vertical="center" wrapText="1"/>
    </xf>
    <xf numFmtId="164" fontId="8" fillId="9" borderId="6" xfId="0" applyNumberFormat="1" applyFont="1" applyFill="1" applyBorder="1" applyAlignment="1">
      <alignment horizontal="center" vertical="center" wrapText="1"/>
    </xf>
    <xf numFmtId="164" fontId="8" fillId="9" borderId="10" xfId="0" applyNumberFormat="1" applyFont="1" applyFill="1" applyBorder="1" applyAlignment="1">
      <alignment horizontal="center" vertical="center" wrapText="1"/>
    </xf>
    <xf numFmtId="164" fontId="8" fillId="9" borderId="8" xfId="0" applyNumberFormat="1" applyFont="1" applyFill="1" applyBorder="1" applyAlignment="1">
      <alignment horizontal="center" vertical="center" wrapText="1"/>
    </xf>
    <xf numFmtId="164" fontId="7" fillId="0" borderId="0" xfId="0" applyNumberFormat="1" applyFont="1"/>
    <xf numFmtId="9" fontId="4" fillId="0" borderId="0" xfId="2"/>
    <xf numFmtId="10" fontId="7" fillId="0" borderId="0" xfId="0" applyNumberFormat="1" applyFont="1"/>
    <xf numFmtId="0" fontId="6" fillId="4" borderId="0" xfId="0" applyFont="1" applyFill="1" applyAlignment="1">
      <alignment horizontal="center" vertical="center" wrapText="1"/>
    </xf>
    <xf numFmtId="0" fontId="7" fillId="0" borderId="0" xfId="0" applyFont="1"/>
    <xf numFmtId="0" fontId="1" fillId="5" borderId="0" xfId="0" applyFont="1" applyFill="1" applyAlignment="1">
      <alignment horizontal="center" vertical="center" wrapText="1"/>
    </xf>
    <xf numFmtId="0" fontId="9" fillId="10" borderId="0" xfId="0" applyFont="1" applyFill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7" fillId="0" borderId="2" xfId="0" applyFont="1" applyBorder="1"/>
    <xf numFmtId="0" fontId="7" fillId="0" borderId="3" xfId="0" applyFont="1" applyBorder="1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3" xfId="0" applyBorder="1"/>
  </cellXfs>
  <cellStyles count="3">
    <cellStyle name="Moneda [0]" xfId="1" builtinId="7"/>
    <cellStyle name="Normal" xfId="0" builtinId="0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showGridLines="0" workbookViewId="0">
      <pane ySplit="12" topLeftCell="A13" activePane="bottomLeft" state="frozen"/>
      <selection pane="bottomLeft" sqref="A1:XFD1048576"/>
    </sheetView>
  </sheetViews>
  <sheetFormatPr baseColWidth="10" defaultColWidth="8.83203125" defaultRowHeight="15" x14ac:dyDescent="0.2"/>
  <cols>
    <col min="1" max="1" width="16.83203125" style="23" customWidth="1"/>
    <col min="2" max="2" width="26" style="23" customWidth="1"/>
    <col min="3" max="5" width="14" style="23" customWidth="1"/>
    <col min="6" max="6" width="20.5" style="23" bestFit="1" customWidth="1"/>
    <col min="7" max="11" width="14" style="23" customWidth="1"/>
    <col min="12" max="14" width="16" style="23" customWidth="1"/>
    <col min="15" max="15" width="13" style="23" customWidth="1"/>
    <col min="16" max="16384" width="8.83203125" style="23"/>
  </cols>
  <sheetData>
    <row r="1" spans="1:12" ht="25" customHeight="1" x14ac:dyDescent="0.2">
      <c r="A1" s="66" t="s">
        <v>73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</row>
    <row r="3" spans="1:12" x14ac:dyDescent="0.2">
      <c r="A3" s="68" t="s">
        <v>0</v>
      </c>
      <c r="B3" s="67"/>
      <c r="C3" s="67"/>
      <c r="D3" s="67"/>
      <c r="F3" s="68" t="s">
        <v>1</v>
      </c>
      <c r="G3" s="67"/>
      <c r="H3" s="67"/>
      <c r="I3" s="67"/>
      <c r="J3" s="67"/>
      <c r="K3" s="67"/>
      <c r="L3" s="67"/>
    </row>
    <row r="4" spans="1:12" ht="32" x14ac:dyDescent="0.2">
      <c r="A4" s="31" t="s">
        <v>2</v>
      </c>
      <c r="B4" s="32">
        <v>157</v>
      </c>
      <c r="C4" s="31" t="s">
        <v>3</v>
      </c>
      <c r="F4" s="24" t="s">
        <v>4</v>
      </c>
      <c r="G4" s="24" t="s">
        <v>5</v>
      </c>
    </row>
    <row r="5" spans="1:12" ht="32" x14ac:dyDescent="0.2">
      <c r="A5" s="31" t="s">
        <v>6</v>
      </c>
      <c r="B5" s="33" t="s">
        <v>7</v>
      </c>
      <c r="C5" s="31" t="s">
        <v>8</v>
      </c>
      <c r="F5" s="31" t="s">
        <v>9</v>
      </c>
      <c r="G5" s="34">
        <v>337537</v>
      </c>
    </row>
    <row r="6" spans="1:12" ht="32" x14ac:dyDescent="0.2">
      <c r="A6" s="31" t="s">
        <v>10</v>
      </c>
      <c r="B6" s="33" t="s">
        <v>11</v>
      </c>
      <c r="C6" s="31" t="s">
        <v>8</v>
      </c>
      <c r="F6" s="31" t="s">
        <v>12</v>
      </c>
      <c r="G6" s="34">
        <v>261203</v>
      </c>
    </row>
    <row r="7" spans="1:12" ht="32" x14ac:dyDescent="0.2">
      <c r="A7" s="31" t="s">
        <v>13</v>
      </c>
      <c r="B7" s="35">
        <v>1</v>
      </c>
      <c r="C7" s="31" t="s">
        <v>14</v>
      </c>
      <c r="F7" s="31" t="s">
        <v>15</v>
      </c>
      <c r="G7" s="34">
        <v>95798</v>
      </c>
    </row>
    <row r="8" spans="1:12" ht="16" x14ac:dyDescent="0.2">
      <c r="A8" s="31" t="s">
        <v>16</v>
      </c>
      <c r="B8" s="36">
        <v>0.19</v>
      </c>
      <c r="C8" s="31" t="s">
        <v>17</v>
      </c>
      <c r="F8" s="31" t="s">
        <v>18</v>
      </c>
      <c r="G8" s="34">
        <v>44477</v>
      </c>
    </row>
    <row r="9" spans="1:12" ht="16" x14ac:dyDescent="0.2">
      <c r="B9" s="25"/>
      <c r="F9" s="31" t="s">
        <v>19</v>
      </c>
      <c r="G9" s="34">
        <v>35294</v>
      </c>
    </row>
    <row r="10" spans="1:12" x14ac:dyDescent="0.2">
      <c r="B10" s="25"/>
      <c r="F10" s="37"/>
    </row>
    <row r="11" spans="1:12" x14ac:dyDescent="0.2">
      <c r="A11" s="68" t="s">
        <v>20</v>
      </c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</row>
    <row r="12" spans="1:12" ht="32" x14ac:dyDescent="0.2">
      <c r="A12" s="24" t="s">
        <v>21</v>
      </c>
      <c r="B12" s="24" t="s">
        <v>22</v>
      </c>
      <c r="C12" s="24" t="s">
        <v>23</v>
      </c>
      <c r="D12" s="24" t="s">
        <v>24</v>
      </c>
      <c r="E12" s="24" t="s">
        <v>25</v>
      </c>
      <c r="F12" s="24" t="s">
        <v>26</v>
      </c>
      <c r="G12" s="24" t="s">
        <v>27</v>
      </c>
      <c r="H12" s="24" t="s">
        <v>28</v>
      </c>
      <c r="I12" s="24" t="s">
        <v>29</v>
      </c>
    </row>
    <row r="13" spans="1:12" ht="16" x14ac:dyDescent="0.2">
      <c r="A13" s="31" t="s">
        <v>30</v>
      </c>
      <c r="B13" s="31" t="s">
        <v>31</v>
      </c>
      <c r="C13" s="32">
        <v>857</v>
      </c>
      <c r="D13" s="33">
        <v>0.79166666666666663</v>
      </c>
      <c r="E13" s="35" t="s">
        <v>33</v>
      </c>
      <c r="F13" s="35" t="s">
        <v>33</v>
      </c>
      <c r="G13" s="42">
        <f>IF(D13="",0,MAX(0,D13-$B6)/MAX(0.000001,(D13-$B5)))</f>
        <v>9.0909090909090828E-2</v>
      </c>
      <c r="H13" s="38">
        <f>C13*G13</f>
        <v>77.909090909090835</v>
      </c>
      <c r="I13" s="38">
        <f>C13-H13</f>
        <v>779.09090909090912</v>
      </c>
      <c r="K13" s="64"/>
    </row>
    <row r="14" spans="1:12" ht="16" x14ac:dyDescent="0.2">
      <c r="A14" s="31" t="s">
        <v>34</v>
      </c>
      <c r="B14" s="31" t="s">
        <v>35</v>
      </c>
      <c r="C14" s="32">
        <v>283</v>
      </c>
      <c r="D14" s="33">
        <v>0.77083333333333337</v>
      </c>
      <c r="E14" s="35" t="s">
        <v>33</v>
      </c>
      <c r="F14" s="35" t="s">
        <v>33</v>
      </c>
      <c r="G14" s="42">
        <f>IF(D14="",0,MAX(0,D14-$B6)/MAX(0.000001,(D14-$B5)))</f>
        <v>4.76190476190477E-2</v>
      </c>
      <c r="H14" s="38">
        <f t="shared" ref="H14:H19" si="0">C14*G14</f>
        <v>13.476190476190499</v>
      </c>
      <c r="I14" s="38">
        <f t="shared" ref="I14:I19" si="1">C14-H14</f>
        <v>269.52380952380952</v>
      </c>
    </row>
    <row r="15" spans="1:12" ht="16" x14ac:dyDescent="0.2">
      <c r="A15" s="31" t="s">
        <v>36</v>
      </c>
      <c r="B15" s="31" t="s">
        <v>37</v>
      </c>
      <c r="C15" s="32">
        <v>870</v>
      </c>
      <c r="D15" s="33">
        <v>0.77083333333333337</v>
      </c>
      <c r="E15" s="35" t="s">
        <v>32</v>
      </c>
      <c r="F15" s="35" t="s">
        <v>33</v>
      </c>
      <c r="G15" s="42">
        <f>IF(D15="",0,MAX(0,D15-$B6)/MAX(0.000001,(D15-$B5)))</f>
        <v>4.76190476190477E-2</v>
      </c>
      <c r="H15" s="38">
        <f t="shared" si="0"/>
        <v>41.428571428571502</v>
      </c>
      <c r="I15" s="38">
        <f t="shared" si="1"/>
        <v>828.57142857142844</v>
      </c>
    </row>
    <row r="16" spans="1:12" ht="16" x14ac:dyDescent="0.2">
      <c r="A16" s="31" t="s">
        <v>38</v>
      </c>
      <c r="B16" s="31" t="s">
        <v>37</v>
      </c>
      <c r="C16" s="32">
        <v>300</v>
      </c>
      <c r="D16" s="33">
        <v>0.77083333333333337</v>
      </c>
      <c r="E16" s="35" t="s">
        <v>32</v>
      </c>
      <c r="F16" s="35" t="s">
        <v>33</v>
      </c>
      <c r="G16" s="42">
        <f>IF(D16="",0,MAX(0,D16-$B6)/MAX(0.000001,(D16-$B5)))</f>
        <v>4.76190476190477E-2</v>
      </c>
      <c r="H16" s="38">
        <f t="shared" si="0"/>
        <v>14.28571428571431</v>
      </c>
      <c r="I16" s="38">
        <f t="shared" si="1"/>
        <v>285.71428571428567</v>
      </c>
    </row>
    <row r="17" spans="1:15" ht="16" x14ac:dyDescent="0.2">
      <c r="A17" s="31" t="s">
        <v>39</v>
      </c>
      <c r="B17" s="31" t="s">
        <v>40</v>
      </c>
      <c r="C17" s="32">
        <v>508</v>
      </c>
      <c r="D17" s="33">
        <v>0.77083333333333337</v>
      </c>
      <c r="E17" s="35" t="s">
        <v>32</v>
      </c>
      <c r="F17" s="35" t="s">
        <v>33</v>
      </c>
      <c r="G17" s="42">
        <f>IF(D17="",0,MAX(0,D17-$B6)/MAX(0.000001,(D17-$B5)))</f>
        <v>4.76190476190477E-2</v>
      </c>
      <c r="H17" s="38">
        <f t="shared" si="0"/>
        <v>24.190476190476232</v>
      </c>
      <c r="I17" s="38">
        <f t="shared" si="1"/>
        <v>483.80952380952374</v>
      </c>
    </row>
    <row r="18" spans="1:15" ht="16" x14ac:dyDescent="0.2">
      <c r="A18" s="31" t="s">
        <v>41</v>
      </c>
      <c r="B18" s="31" t="s">
        <v>42</v>
      </c>
      <c r="C18" s="32">
        <v>900</v>
      </c>
      <c r="D18" s="33">
        <v>0.79166666666666663</v>
      </c>
      <c r="E18" s="35" t="s">
        <v>32</v>
      </c>
      <c r="F18" s="35" t="s">
        <v>32</v>
      </c>
      <c r="G18" s="42">
        <f>IF(D18="",0,MAX(0,D18-$B6)/MAX(0.000001,(D18-$B5)))</f>
        <v>9.0909090909090828E-2</v>
      </c>
      <c r="H18" s="38">
        <f t="shared" si="0"/>
        <v>81.818181818181742</v>
      </c>
      <c r="I18" s="38">
        <f t="shared" si="1"/>
        <v>818.18181818181824</v>
      </c>
    </row>
    <row r="19" spans="1:15" ht="16" x14ac:dyDescent="0.2">
      <c r="A19" s="31" t="s">
        <v>43</v>
      </c>
      <c r="B19" s="31" t="s">
        <v>44</v>
      </c>
      <c r="C19" s="32">
        <v>365</v>
      </c>
      <c r="D19" s="33">
        <v>0.77083333333333337</v>
      </c>
      <c r="E19" s="35" t="s">
        <v>32</v>
      </c>
      <c r="F19" s="35" t="s">
        <v>33</v>
      </c>
      <c r="G19" s="42">
        <f>IF(D19="",0,MAX(0,D19-$B6)/MAX(0.000001,(D19-$B5)))</f>
        <v>4.76190476190477E-2</v>
      </c>
      <c r="H19" s="38">
        <f t="shared" si="0"/>
        <v>17.380952380952412</v>
      </c>
      <c r="I19" s="38">
        <f t="shared" si="1"/>
        <v>347.61904761904759</v>
      </c>
    </row>
    <row r="20" spans="1:15" ht="16" x14ac:dyDescent="0.2">
      <c r="A20" s="39" t="s">
        <v>45</v>
      </c>
      <c r="B20" s="39"/>
      <c r="C20" s="40">
        <f>SUM(C13:C19)</f>
        <v>4083</v>
      </c>
      <c r="D20" s="39"/>
      <c r="E20" s="39"/>
      <c r="F20" s="39"/>
      <c r="G20" s="39"/>
      <c r="H20" s="41">
        <f>SUM(H13:H19)</f>
        <v>270.48917748917751</v>
      </c>
      <c r="I20" s="41">
        <f>SUM(I13:I19)</f>
        <v>3812.5108225108224</v>
      </c>
    </row>
    <row r="22" spans="1:15" x14ac:dyDescent="0.2">
      <c r="A22" s="68" t="s">
        <v>46</v>
      </c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</row>
    <row r="23" spans="1:15" ht="16" x14ac:dyDescent="0.2">
      <c r="A23" s="43" t="s">
        <v>21</v>
      </c>
      <c r="B23" s="43" t="s">
        <v>47</v>
      </c>
      <c r="C23" s="43" t="s">
        <v>48</v>
      </c>
      <c r="D23" s="43" t="s">
        <v>49</v>
      </c>
      <c r="E23" s="43" t="s">
        <v>50</v>
      </c>
      <c r="F23" s="43" t="s">
        <v>51</v>
      </c>
      <c r="G23" s="43" t="s">
        <v>52</v>
      </c>
      <c r="H23" s="43" t="s">
        <v>53</v>
      </c>
      <c r="I23" s="43" t="s">
        <v>54</v>
      </c>
      <c r="J23" s="43" t="s">
        <v>55</v>
      </c>
      <c r="K23" s="43" t="s">
        <v>56</v>
      </c>
      <c r="L23" s="43" t="s">
        <v>57</v>
      </c>
      <c r="M23" s="24" t="s">
        <v>58</v>
      </c>
      <c r="N23" s="24" t="s">
        <v>16</v>
      </c>
      <c r="O23" s="24" t="s">
        <v>59</v>
      </c>
    </row>
    <row r="24" spans="1:15" ht="16" x14ac:dyDescent="0.2">
      <c r="A24" s="45" t="str">
        <f t="shared" ref="A24:A30" si="2">A13</f>
        <v>E-1</v>
      </c>
      <c r="B24" s="46">
        <f>C13</f>
        <v>857</v>
      </c>
      <c r="C24" s="47">
        <f>IFERROR(B24/SUM(B24:B30),0)</f>
        <v>0.20989468528043106</v>
      </c>
      <c r="D24" s="44">
        <f>C24*$G5</f>
        <v>70847.222385500863</v>
      </c>
      <c r="E24" s="48">
        <f>H13</f>
        <v>77.909090909090835</v>
      </c>
      <c r="F24" s="47">
        <f>IFERROR(E24/SUM(E24:E30),0)</f>
        <v>0.28803034425363672</v>
      </c>
      <c r="G24" s="44">
        <f>F24*$G6</f>
        <v>75234.390010082672</v>
      </c>
      <c r="H24" s="47">
        <f>IF($E13="SI",1,0)/MAX(1,COUNTIF($E13:$E19,"SI"))</f>
        <v>0</v>
      </c>
      <c r="I24" s="44">
        <f>H24*$G7</f>
        <v>0</v>
      </c>
      <c r="J24" s="44">
        <f>($G8*0.5/7)+($G8*0.5*C24)</f>
        <v>7844.6715300374381</v>
      </c>
      <c r="K24" s="47">
        <f>IF($F13="SI",1,0)/MAX(1,COUNTIF($F13:$F19,"SI"))</f>
        <v>0</v>
      </c>
      <c r="L24" s="44">
        <f t="shared" ref="L24:L30" si="3">K24*$G$9</f>
        <v>0</v>
      </c>
      <c r="M24" s="60">
        <f>D24+G24+I24+J24+L24</f>
        <v>153926.28392562098</v>
      </c>
      <c r="N24" s="60">
        <f>M24*$B8</f>
        <v>29245.993945867987</v>
      </c>
      <c r="O24" s="60">
        <f t="shared" ref="O24:O30" si="4">M24+N24</f>
        <v>183172.27787148897</v>
      </c>
    </row>
    <row r="25" spans="1:15" ht="16" x14ac:dyDescent="0.2">
      <c r="A25" s="45" t="str">
        <f t="shared" si="2"/>
        <v>E-2</v>
      </c>
      <c r="B25" s="46">
        <f t="shared" ref="B25:B30" si="5">C14</f>
        <v>283</v>
      </c>
      <c r="C25" s="47">
        <f>IFERROR(B25/SUM(B24:B30),0)</f>
        <v>6.9311780553514571E-2</v>
      </c>
      <c r="D25" s="44">
        <f>C25*$G5</f>
        <v>23395.290472691649</v>
      </c>
      <c r="E25" s="48">
        <f t="shared" ref="E25:E30" si="6">H14</f>
        <v>13.476190476190499</v>
      </c>
      <c r="F25" s="47">
        <f>IFERROR(E25/SUM(E24:E30),0)</f>
        <v>4.9821551461997744E-2</v>
      </c>
      <c r="G25" s="44">
        <f>F25*$G6</f>
        <v>13013.538706528198</v>
      </c>
      <c r="H25" s="47">
        <f>IF($E14="SI",1,0)/MAX(1,COUNTIF($E13:$E19,"SI"))</f>
        <v>0</v>
      </c>
      <c r="I25" s="44">
        <f>H25*$G7</f>
        <v>0</v>
      </c>
      <c r="J25" s="44">
        <f>($G8*0.5/7)+($G8*0.5*C25)</f>
        <v>4718.318603267905</v>
      </c>
      <c r="K25" s="47">
        <f>IF($F14="SI",1,0)/MAX(1,COUNTIF($F13:$F19,"SI"))</f>
        <v>0</v>
      </c>
      <c r="L25" s="44">
        <f t="shared" si="3"/>
        <v>0</v>
      </c>
      <c r="M25" s="59">
        <f t="shared" ref="M25:M30" si="7">D25+G25+I25+J25+L25</f>
        <v>41127.147782487751</v>
      </c>
      <c r="N25" s="60">
        <f>M25*$B8</f>
        <v>7814.1580786726727</v>
      </c>
      <c r="O25" s="60">
        <f t="shared" si="4"/>
        <v>48941.305861160421</v>
      </c>
    </row>
    <row r="26" spans="1:15" ht="16" x14ac:dyDescent="0.2">
      <c r="A26" s="45" t="str">
        <f t="shared" si="2"/>
        <v>E-3</v>
      </c>
      <c r="B26" s="46">
        <f t="shared" si="5"/>
        <v>870</v>
      </c>
      <c r="C26" s="47">
        <f>IFERROR(B26/SUM(B24:B30),0)</f>
        <v>0.21307861866274799</v>
      </c>
      <c r="D26" s="44">
        <f>C26*$G5</f>
        <v>71921.917707567976</v>
      </c>
      <c r="E26" s="48">
        <f t="shared" si="6"/>
        <v>41.428571428571502</v>
      </c>
      <c r="F26" s="47">
        <f>IFERROR(E26/SUM(E24:E30),0)</f>
        <v>0.15316165997151251</v>
      </c>
      <c r="G26" s="44">
        <f>F26*$G6</f>
        <v>40006.285069538986</v>
      </c>
      <c r="H26" s="47">
        <f>IF($E15="SI",1,0)/MAX(1,COUNTIF($E13:$E19,"SI"))</f>
        <v>0.2</v>
      </c>
      <c r="I26" s="44">
        <f>H26*$G7</f>
        <v>19159.600000000002</v>
      </c>
      <c r="J26" s="44">
        <f>($G8*0.5/7)+($G8*0.5*C26)</f>
        <v>7915.4774325600929</v>
      </c>
      <c r="K26" s="47">
        <f>IF($F15="SI",1,0)/MAX(1,COUNTIF($F13:$F19,"SI"))</f>
        <v>0</v>
      </c>
      <c r="L26" s="44">
        <f t="shared" si="3"/>
        <v>0</v>
      </c>
      <c r="M26" s="59">
        <f t="shared" si="7"/>
        <v>139003.28020966705</v>
      </c>
      <c r="N26" s="60">
        <f>M26*$B8</f>
        <v>26410.623239836739</v>
      </c>
      <c r="O26" s="60">
        <f t="shared" si="4"/>
        <v>165413.90344950379</v>
      </c>
    </row>
    <row r="27" spans="1:15" ht="16" x14ac:dyDescent="0.2">
      <c r="A27" s="45" t="str">
        <f t="shared" si="2"/>
        <v>E-4</v>
      </c>
      <c r="B27" s="46">
        <f t="shared" si="5"/>
        <v>300</v>
      </c>
      <c r="C27" s="47">
        <f>IFERROR(B27/SUM(B24:B30),0)</f>
        <v>7.3475385745775168E-2</v>
      </c>
      <c r="D27" s="44">
        <f>C27*$G5</f>
        <v>24800.661278471714</v>
      </c>
      <c r="E27" s="48">
        <f t="shared" si="6"/>
        <v>14.28571428571431</v>
      </c>
      <c r="F27" s="47">
        <f>IFERROR(E27/SUM(E24:E30),0)</f>
        <v>5.2814365507418103E-2</v>
      </c>
      <c r="G27" s="44">
        <f>F27*$G6</f>
        <v>13795.270713634131</v>
      </c>
      <c r="H27" s="47">
        <f>IF($E16="SI",1,0)/MAX(1,COUNTIF($E13:$E19,"SI"))</f>
        <v>0.2</v>
      </c>
      <c r="I27" s="44">
        <f>H27*$G7</f>
        <v>19159.600000000002</v>
      </c>
      <c r="J27" s="44">
        <f>($G8*0.5/7)+($G8*0.5*C27)</f>
        <v>4810.9109373359925</v>
      </c>
      <c r="K27" s="47">
        <f>IF($F16="SI",1,0)/MAX(1,COUNTIF($F13:$F19,"SI"))</f>
        <v>0</v>
      </c>
      <c r="L27" s="44">
        <f t="shared" si="3"/>
        <v>0</v>
      </c>
      <c r="M27" s="59">
        <f t="shared" si="7"/>
        <v>62566.442929441844</v>
      </c>
      <c r="N27" s="60">
        <f>M27*$B8</f>
        <v>11887.624156593951</v>
      </c>
      <c r="O27" s="60">
        <f t="shared" si="4"/>
        <v>74454.067086035793</v>
      </c>
    </row>
    <row r="28" spans="1:15" ht="16" x14ac:dyDescent="0.2">
      <c r="A28" s="45" t="str">
        <f t="shared" si="2"/>
        <v>E-5</v>
      </c>
      <c r="B28" s="46">
        <f t="shared" si="5"/>
        <v>508</v>
      </c>
      <c r="C28" s="47">
        <f>IFERROR(B28/SUM(B24:B30),0)</f>
        <v>0.12441831986284595</v>
      </c>
      <c r="D28" s="44">
        <f>C28*$G5</f>
        <v>41995.786431545435</v>
      </c>
      <c r="E28" s="48">
        <f t="shared" si="6"/>
        <v>24.190476190476232</v>
      </c>
      <c r="F28" s="47">
        <f>IFERROR(E28/SUM(E24:E30),0)</f>
        <v>8.9432325592561326E-2</v>
      </c>
      <c r="G28" s="44">
        <f>F28*$G6</f>
        <v>23359.991741753794</v>
      </c>
      <c r="H28" s="47">
        <f>IF($E17="SI",1,0)/MAX(1,COUNTIF($E13:$E19,"SI"))</f>
        <v>0.2</v>
      </c>
      <c r="I28" s="44">
        <f>H28*$G7</f>
        <v>19159.600000000002</v>
      </c>
      <c r="J28" s="44">
        <f>($G8*0.5/7)+($G8*0.5*C28)</f>
        <v>5943.8053776984707</v>
      </c>
      <c r="K28" s="47">
        <f>IF($F17="SI",1,0)/MAX(1,COUNTIF($F13:$F19,"SI"))</f>
        <v>0</v>
      </c>
      <c r="L28" s="44">
        <f t="shared" si="3"/>
        <v>0</v>
      </c>
      <c r="M28" s="59">
        <f t="shared" si="7"/>
        <v>90459.18355099771</v>
      </c>
      <c r="N28" s="60">
        <f>M28*$B8</f>
        <v>17187.244874689564</v>
      </c>
      <c r="O28" s="60">
        <f t="shared" si="4"/>
        <v>107646.42842568728</v>
      </c>
    </row>
    <row r="29" spans="1:15" ht="16" x14ac:dyDescent="0.2">
      <c r="A29" s="45" t="str">
        <f t="shared" si="2"/>
        <v>E-6</v>
      </c>
      <c r="B29" s="46">
        <f t="shared" si="5"/>
        <v>900</v>
      </c>
      <c r="C29" s="47">
        <f>IFERROR(B29/SUM(B24:B30),0)</f>
        <v>0.2204261572373255</v>
      </c>
      <c r="D29" s="44">
        <f>C29*$G5</f>
        <v>74401.983835415143</v>
      </c>
      <c r="E29" s="48">
        <f t="shared" si="6"/>
        <v>81.818181818181742</v>
      </c>
      <c r="F29" s="47">
        <f>IFERROR(E29/SUM(E24:E30),0)</f>
        <v>0.30248227517884835</v>
      </c>
      <c r="G29" s="44">
        <f>F29*$G6</f>
        <v>79009.277723540727</v>
      </c>
      <c r="H29" s="47">
        <f>IF($E18="SI",1,0)/MAX(1,COUNTIF($E13:$E19,"SI"))</f>
        <v>0.2</v>
      </c>
      <c r="I29" s="44">
        <f>H29*$G7</f>
        <v>19159.600000000002</v>
      </c>
      <c r="J29" s="44">
        <f>($G8*0.5/7)+($G8*0.5*C29)</f>
        <v>8078.8756691508352</v>
      </c>
      <c r="K29" s="47">
        <f>IF($F18="SI",1,0)/MAX(1,COUNTIF($F13:$F19,"SI"))</f>
        <v>1</v>
      </c>
      <c r="L29" s="44">
        <f t="shared" si="3"/>
        <v>35294</v>
      </c>
      <c r="M29" s="59">
        <f t="shared" si="7"/>
        <v>215943.73722810674</v>
      </c>
      <c r="N29" s="60">
        <f>M29*$B8</f>
        <v>41029.310073340283</v>
      </c>
      <c r="O29" s="60">
        <f t="shared" si="4"/>
        <v>256973.04730144702</v>
      </c>
    </row>
    <row r="30" spans="1:15" ht="16" x14ac:dyDescent="0.2">
      <c r="A30" s="53" t="str">
        <f t="shared" si="2"/>
        <v>E-7</v>
      </c>
      <c r="B30" s="54">
        <f t="shared" si="5"/>
        <v>365</v>
      </c>
      <c r="C30" s="55">
        <f>IFERROR(B30/SUM(B24:B30),0)</f>
        <v>8.939505265735978E-2</v>
      </c>
      <c r="D30" s="56">
        <f>C30*$G5</f>
        <v>30174.137888807247</v>
      </c>
      <c r="E30" s="57">
        <f t="shared" si="6"/>
        <v>17.380952380952412</v>
      </c>
      <c r="F30" s="55">
        <f>IFERROR(E30/SUM(E24:E30),0)</f>
        <v>6.4257478034025359E-2</v>
      </c>
      <c r="G30" s="56">
        <f>F30*$G6</f>
        <v>16784.246034921525</v>
      </c>
      <c r="H30" s="55">
        <f>IF($E19="SI",1,0)/MAX(1,COUNTIF($E13:$E19,"SI"))</f>
        <v>0.2</v>
      </c>
      <c r="I30" s="56">
        <f>H30*$G7</f>
        <v>19159.600000000002</v>
      </c>
      <c r="J30" s="56">
        <f>($G8*0.5/7)+($G8*0.5*C30)</f>
        <v>5164.9404499492666</v>
      </c>
      <c r="K30" s="55">
        <f>IF($F19="SI",1,0)/MAX(1,COUNTIF($F13:$F19,"SI"))</f>
        <v>0</v>
      </c>
      <c r="L30" s="56">
        <f t="shared" si="3"/>
        <v>0</v>
      </c>
      <c r="M30" s="61">
        <f t="shared" si="7"/>
        <v>71282.924373678048</v>
      </c>
      <c r="N30" s="62">
        <f>M30*$B8</f>
        <v>13543.755630998829</v>
      </c>
      <c r="O30" s="62">
        <f t="shared" si="4"/>
        <v>84826.680004676877</v>
      </c>
    </row>
    <row r="31" spans="1:15" ht="16" x14ac:dyDescent="0.2">
      <c r="A31" s="50" t="s">
        <v>45</v>
      </c>
      <c r="B31" s="50">
        <f>SUM(B24:B30)</f>
        <v>4083</v>
      </c>
      <c r="C31" s="50"/>
      <c r="D31" s="51">
        <f>SUM(D24:D30)</f>
        <v>337537</v>
      </c>
      <c r="E31" s="50"/>
      <c r="F31" s="50"/>
      <c r="G31" s="51">
        <f>SUM(G24:G30)</f>
        <v>261203.00000000003</v>
      </c>
      <c r="H31" s="50"/>
      <c r="I31" s="51">
        <f>SUM(I24:I30)</f>
        <v>95798.000000000015</v>
      </c>
      <c r="J31" s="51">
        <f>SUM(J24:J30)</f>
        <v>44477</v>
      </c>
      <c r="K31" s="50"/>
      <c r="L31" s="51">
        <f>SUM(L24:L30)</f>
        <v>35294</v>
      </c>
      <c r="M31" s="51">
        <f>SUM(M24:M30)</f>
        <v>774309.00000000012</v>
      </c>
      <c r="N31" s="51">
        <f>SUM(N24:N30)</f>
        <v>147118.71000000002</v>
      </c>
      <c r="O31" s="51">
        <f>SUM(O24:O30)</f>
        <v>921427.7100000002</v>
      </c>
    </row>
    <row r="33" spans="1:15" x14ac:dyDescent="0.2">
      <c r="A33" s="69" t="s">
        <v>60</v>
      </c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</row>
  </sheetData>
  <mergeCells count="6">
    <mergeCell ref="A11:L11"/>
    <mergeCell ref="A3:D3"/>
    <mergeCell ref="A1:L1"/>
    <mergeCell ref="F3:L3"/>
    <mergeCell ref="A33:O33"/>
    <mergeCell ref="A22:L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5B5BD-90F7-8541-8E93-3977A0B0D4F3}">
  <dimension ref="A1:O33"/>
  <sheetViews>
    <sheetView showGridLines="0" workbookViewId="0">
      <selection activeCell="C25" sqref="C25"/>
    </sheetView>
  </sheetViews>
  <sheetFormatPr baseColWidth="10" defaultColWidth="8.83203125" defaultRowHeight="15" x14ac:dyDescent="0.2"/>
  <cols>
    <col min="1" max="1" width="16.83203125" style="23" customWidth="1"/>
    <col min="2" max="2" width="26" style="23" customWidth="1"/>
    <col min="3" max="5" width="14" style="23" customWidth="1"/>
    <col min="6" max="6" width="20.5" style="23" bestFit="1" customWidth="1"/>
    <col min="7" max="11" width="14" style="23" customWidth="1"/>
    <col min="12" max="14" width="16" style="23" customWidth="1"/>
    <col min="15" max="15" width="13" style="23" customWidth="1"/>
    <col min="16" max="16384" width="8.83203125" style="23"/>
  </cols>
  <sheetData>
    <row r="1" spans="1:12" ht="25" customHeight="1" x14ac:dyDescent="0.2">
      <c r="A1" s="66" t="s">
        <v>73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</row>
    <row r="3" spans="1:12" x14ac:dyDescent="0.2">
      <c r="A3" s="68" t="s">
        <v>0</v>
      </c>
      <c r="B3" s="67"/>
      <c r="C3" s="67"/>
      <c r="D3" s="67"/>
      <c r="F3" s="68" t="s">
        <v>1</v>
      </c>
      <c r="G3" s="67"/>
      <c r="H3" s="67"/>
      <c r="I3" s="67"/>
      <c r="J3" s="67"/>
      <c r="K3" s="67"/>
      <c r="L3" s="67"/>
    </row>
    <row r="4" spans="1:12" ht="32" x14ac:dyDescent="0.2">
      <c r="A4" s="31" t="s">
        <v>2</v>
      </c>
      <c r="B4" s="32">
        <v>157</v>
      </c>
      <c r="C4" s="31" t="s">
        <v>3</v>
      </c>
      <c r="F4" s="24" t="s">
        <v>4</v>
      </c>
      <c r="G4" s="24" t="s">
        <v>5</v>
      </c>
    </row>
    <row r="5" spans="1:12" ht="32" x14ac:dyDescent="0.2">
      <c r="A5" s="31" t="s">
        <v>6</v>
      </c>
      <c r="B5" s="33" t="s">
        <v>7</v>
      </c>
      <c r="C5" s="31" t="s">
        <v>8</v>
      </c>
      <c r="F5" s="31" t="s">
        <v>9</v>
      </c>
      <c r="G5" s="34">
        <v>560000</v>
      </c>
    </row>
    <row r="6" spans="1:12" ht="32" x14ac:dyDescent="0.2">
      <c r="A6" s="31" t="s">
        <v>10</v>
      </c>
      <c r="B6" s="33" t="s">
        <v>11</v>
      </c>
      <c r="C6" s="31" t="s">
        <v>8</v>
      </c>
      <c r="F6" s="31" t="s">
        <v>12</v>
      </c>
      <c r="G6" s="34">
        <v>321770</v>
      </c>
    </row>
    <row r="7" spans="1:12" ht="32" x14ac:dyDescent="0.2">
      <c r="A7" s="31" t="s">
        <v>13</v>
      </c>
      <c r="B7" s="35">
        <v>1</v>
      </c>
      <c r="C7" s="31" t="s">
        <v>14</v>
      </c>
      <c r="F7" s="31" t="s">
        <v>15</v>
      </c>
      <c r="G7" s="34">
        <v>95798</v>
      </c>
    </row>
    <row r="8" spans="1:12" ht="16" x14ac:dyDescent="0.2">
      <c r="A8" s="31" t="s">
        <v>16</v>
      </c>
      <c r="B8" s="36">
        <v>0.19</v>
      </c>
      <c r="C8" s="31" t="s">
        <v>17</v>
      </c>
      <c r="F8" s="31" t="s">
        <v>18</v>
      </c>
      <c r="G8" s="34">
        <v>44477</v>
      </c>
    </row>
    <row r="9" spans="1:12" ht="16" x14ac:dyDescent="0.2">
      <c r="B9" s="25"/>
      <c r="F9" s="31" t="s">
        <v>19</v>
      </c>
      <c r="G9" s="34">
        <v>35294</v>
      </c>
    </row>
    <row r="10" spans="1:12" x14ac:dyDescent="0.2">
      <c r="B10" s="25"/>
      <c r="F10" s="37"/>
    </row>
    <row r="11" spans="1:12" x14ac:dyDescent="0.2">
      <c r="A11" s="68" t="s">
        <v>20</v>
      </c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</row>
    <row r="12" spans="1:12" ht="32" x14ac:dyDescent="0.2">
      <c r="A12" s="24" t="s">
        <v>21</v>
      </c>
      <c r="B12" s="24" t="s">
        <v>22</v>
      </c>
      <c r="C12" s="24" t="s">
        <v>23</v>
      </c>
      <c r="D12" s="24" t="s">
        <v>24</v>
      </c>
      <c r="E12" s="24" t="s">
        <v>25</v>
      </c>
      <c r="F12" s="24" t="s">
        <v>26</v>
      </c>
      <c r="G12" s="24" t="s">
        <v>27</v>
      </c>
      <c r="H12" s="24" t="s">
        <v>28</v>
      </c>
      <c r="I12" s="24" t="s">
        <v>29</v>
      </c>
    </row>
    <row r="13" spans="1:12" ht="16" x14ac:dyDescent="0.2">
      <c r="A13" s="31" t="s">
        <v>30</v>
      </c>
      <c r="B13" s="31" t="s">
        <v>31</v>
      </c>
      <c r="C13" s="32">
        <v>857</v>
      </c>
      <c r="D13" s="33">
        <v>0.79166666666666663</v>
      </c>
      <c r="E13" s="35" t="s">
        <v>33</v>
      </c>
      <c r="F13" s="35" t="s">
        <v>33</v>
      </c>
      <c r="G13" s="42">
        <f>IF(D13="",0,MAX(0,D13-$B6)/MAX(0.000001,(D13-$B5)))</f>
        <v>9.0909090909090828E-2</v>
      </c>
      <c r="H13" s="38">
        <f>C13*G13</f>
        <v>77.909090909090835</v>
      </c>
      <c r="I13" s="38">
        <f>C13-H13</f>
        <v>779.09090909090912</v>
      </c>
      <c r="K13" s="64"/>
    </row>
    <row r="14" spans="1:12" ht="16" x14ac:dyDescent="0.2">
      <c r="A14" s="31" t="s">
        <v>34</v>
      </c>
      <c r="B14" s="31" t="s">
        <v>35</v>
      </c>
      <c r="C14" s="32">
        <v>283</v>
      </c>
      <c r="D14" s="33">
        <v>0.77083333333333337</v>
      </c>
      <c r="E14" s="35" t="s">
        <v>33</v>
      </c>
      <c r="F14" s="35" t="s">
        <v>33</v>
      </c>
      <c r="G14" s="42">
        <f>IF(D14="",0,MAX(0,D14-$B6)/MAX(0.000001,(D14-$B5)))</f>
        <v>4.76190476190477E-2</v>
      </c>
      <c r="H14" s="38">
        <f t="shared" ref="H14:H19" si="0">C14*G14</f>
        <v>13.476190476190499</v>
      </c>
      <c r="I14" s="38">
        <f t="shared" ref="I14:I19" si="1">C14-H14</f>
        <v>269.52380952380952</v>
      </c>
    </row>
    <row r="15" spans="1:12" ht="16" x14ac:dyDescent="0.2">
      <c r="A15" s="31" t="s">
        <v>36</v>
      </c>
      <c r="B15" s="31" t="s">
        <v>37</v>
      </c>
      <c r="C15" s="32">
        <v>870</v>
      </c>
      <c r="D15" s="33">
        <v>0.77083333333333337</v>
      </c>
      <c r="E15" s="35" t="s">
        <v>32</v>
      </c>
      <c r="F15" s="35" t="s">
        <v>33</v>
      </c>
      <c r="G15" s="42">
        <f>IF(D15="",0,MAX(0,D15-$B6)/MAX(0.000001,(D15-$B5)))</f>
        <v>4.76190476190477E-2</v>
      </c>
      <c r="H15" s="38">
        <f t="shared" si="0"/>
        <v>41.428571428571502</v>
      </c>
      <c r="I15" s="38">
        <f t="shared" si="1"/>
        <v>828.57142857142844</v>
      </c>
    </row>
    <row r="16" spans="1:12" ht="16" x14ac:dyDescent="0.2">
      <c r="A16" s="31" t="s">
        <v>38</v>
      </c>
      <c r="B16" s="31" t="s">
        <v>37</v>
      </c>
      <c r="C16" s="32">
        <v>300</v>
      </c>
      <c r="D16" s="33">
        <v>0.77083333333333337</v>
      </c>
      <c r="E16" s="35" t="s">
        <v>32</v>
      </c>
      <c r="F16" s="35" t="s">
        <v>33</v>
      </c>
      <c r="G16" s="42">
        <f>IF(D16="",0,MAX(0,D16-$B6)/MAX(0.000001,(D16-$B5)))</f>
        <v>4.76190476190477E-2</v>
      </c>
      <c r="H16" s="38">
        <f t="shared" si="0"/>
        <v>14.28571428571431</v>
      </c>
      <c r="I16" s="38">
        <f t="shared" si="1"/>
        <v>285.71428571428567</v>
      </c>
    </row>
    <row r="17" spans="1:15" ht="16" x14ac:dyDescent="0.2">
      <c r="A17" s="31" t="s">
        <v>39</v>
      </c>
      <c r="B17" s="31" t="s">
        <v>40</v>
      </c>
      <c r="C17" s="32">
        <v>508</v>
      </c>
      <c r="D17" s="33">
        <v>0.77083333333333337</v>
      </c>
      <c r="E17" s="35" t="s">
        <v>32</v>
      </c>
      <c r="F17" s="35" t="s">
        <v>33</v>
      </c>
      <c r="G17" s="42">
        <f>IF(D17="",0,MAX(0,D17-$B6)/MAX(0.000001,(D17-$B5)))</f>
        <v>4.76190476190477E-2</v>
      </c>
      <c r="H17" s="38">
        <f t="shared" si="0"/>
        <v>24.190476190476232</v>
      </c>
      <c r="I17" s="38">
        <f t="shared" si="1"/>
        <v>483.80952380952374</v>
      </c>
    </row>
    <row r="18" spans="1:15" ht="16" x14ac:dyDescent="0.2">
      <c r="A18" s="31" t="s">
        <v>41</v>
      </c>
      <c r="B18" s="31" t="s">
        <v>42</v>
      </c>
      <c r="C18" s="32">
        <v>900</v>
      </c>
      <c r="D18" s="33">
        <v>0.79166666666666663</v>
      </c>
      <c r="E18" s="35" t="s">
        <v>32</v>
      </c>
      <c r="F18" s="35" t="s">
        <v>32</v>
      </c>
      <c r="G18" s="42">
        <f>IF(D18="",0,MAX(0,D18-$B6)/MAX(0.000001,(D18-$B5)))</f>
        <v>9.0909090909090828E-2</v>
      </c>
      <c r="H18" s="38">
        <f t="shared" si="0"/>
        <v>81.818181818181742</v>
      </c>
      <c r="I18" s="38">
        <f t="shared" si="1"/>
        <v>818.18181818181824</v>
      </c>
    </row>
    <row r="19" spans="1:15" ht="16" x14ac:dyDescent="0.2">
      <c r="A19" s="31" t="s">
        <v>43</v>
      </c>
      <c r="B19" s="31" t="s">
        <v>44</v>
      </c>
      <c r="C19" s="32">
        <v>365</v>
      </c>
      <c r="D19" s="33">
        <v>0.77083333333333337</v>
      </c>
      <c r="E19" s="35" t="s">
        <v>32</v>
      </c>
      <c r="F19" s="35" t="s">
        <v>33</v>
      </c>
      <c r="G19" s="42">
        <f>IF(D19="",0,MAX(0,D19-$B6)/MAX(0.000001,(D19-$B5)))</f>
        <v>4.76190476190477E-2</v>
      </c>
      <c r="H19" s="38">
        <f t="shared" si="0"/>
        <v>17.380952380952412</v>
      </c>
      <c r="I19" s="38">
        <f t="shared" si="1"/>
        <v>347.61904761904759</v>
      </c>
    </row>
    <row r="20" spans="1:15" ht="16" x14ac:dyDescent="0.2">
      <c r="A20" s="39" t="s">
        <v>45</v>
      </c>
      <c r="B20" s="39"/>
      <c r="C20" s="40">
        <f>SUM(C13:C19)</f>
        <v>4083</v>
      </c>
      <c r="D20" s="39"/>
      <c r="E20" s="39"/>
      <c r="F20" s="39"/>
      <c r="G20" s="39"/>
      <c r="H20" s="41">
        <f>SUM(H13:H19)</f>
        <v>270.48917748917751</v>
      </c>
      <c r="I20" s="41">
        <f>SUM(I13:I19)</f>
        <v>3812.5108225108224</v>
      </c>
    </row>
    <row r="22" spans="1:15" x14ac:dyDescent="0.2">
      <c r="A22" s="68" t="s">
        <v>46</v>
      </c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</row>
    <row r="23" spans="1:15" ht="16" x14ac:dyDescent="0.2">
      <c r="A23" s="43" t="s">
        <v>21</v>
      </c>
      <c r="B23" s="43" t="s">
        <v>47</v>
      </c>
      <c r="C23" s="43" t="s">
        <v>48</v>
      </c>
      <c r="D23" s="43" t="s">
        <v>49</v>
      </c>
      <c r="E23" s="43" t="s">
        <v>50</v>
      </c>
      <c r="F23" s="43" t="s">
        <v>51</v>
      </c>
      <c r="G23" s="43" t="s">
        <v>52</v>
      </c>
      <c r="H23" s="43" t="s">
        <v>53</v>
      </c>
      <c r="I23" s="43" t="s">
        <v>54</v>
      </c>
      <c r="J23" s="43" t="s">
        <v>55</v>
      </c>
      <c r="K23" s="43" t="s">
        <v>56</v>
      </c>
      <c r="L23" s="43" t="s">
        <v>57</v>
      </c>
      <c r="M23" s="24" t="s">
        <v>58</v>
      </c>
      <c r="N23" s="24" t="s">
        <v>16</v>
      </c>
      <c r="O23" s="24" t="s">
        <v>59</v>
      </c>
    </row>
    <row r="24" spans="1:15" ht="16" x14ac:dyDescent="0.2">
      <c r="A24" s="45" t="str">
        <f t="shared" ref="A24:A30" si="2">A13</f>
        <v>E-1</v>
      </c>
      <c r="B24" s="46">
        <f>C13</f>
        <v>857</v>
      </c>
      <c r="C24" s="47">
        <f>IFERROR(B24/SUM(B24:B30),0)</f>
        <v>0.20989468528043106</v>
      </c>
      <c r="D24" s="44">
        <f>C24*$G5</f>
        <v>117541.0237570414</v>
      </c>
      <c r="E24" s="48">
        <f>H13</f>
        <v>77.909090909090835</v>
      </c>
      <c r="F24" s="47">
        <f>IFERROR(E24/SUM(E24:E30),0)</f>
        <v>0.28803034425363672</v>
      </c>
      <c r="G24" s="44">
        <f>F24*$G6</f>
        <v>92679.523870492689</v>
      </c>
      <c r="H24" s="47">
        <f>IF($E13="SI",1,0)/MAX(1,COUNTIF($E13:$E19,"SI"))</f>
        <v>0</v>
      </c>
      <c r="I24" s="44">
        <f>H24*$G7</f>
        <v>0</v>
      </c>
      <c r="J24" s="44">
        <f>($G8*0.5/7)+($G8*0.5*C24)</f>
        <v>7844.6715300374381</v>
      </c>
      <c r="K24" s="47">
        <f>IF($F13="SI",1,0)/MAX(1,COUNTIF($F13:$F19,"SI"))</f>
        <v>0</v>
      </c>
      <c r="L24" s="44">
        <f t="shared" ref="L24:L30" si="3">K24*$G$9</f>
        <v>0</v>
      </c>
      <c r="M24" s="60">
        <f>D24+G24+I24+J24+L24</f>
        <v>218065.21915757153</v>
      </c>
      <c r="N24" s="60">
        <f>M24*$B8</f>
        <v>41432.391639938593</v>
      </c>
      <c r="O24" s="60">
        <f t="shared" ref="O24:O30" si="4">M24+N24</f>
        <v>259497.61079751013</v>
      </c>
    </row>
    <row r="25" spans="1:15" ht="16" x14ac:dyDescent="0.2">
      <c r="A25" s="45" t="str">
        <f t="shared" si="2"/>
        <v>E-2</v>
      </c>
      <c r="B25" s="46">
        <f t="shared" ref="B25:B30" si="5">C14</f>
        <v>283</v>
      </c>
      <c r="C25" s="47">
        <f>IFERROR(B25/SUM(B24:B30),0)</f>
        <v>6.9311780553514571E-2</v>
      </c>
      <c r="D25" s="44">
        <f>C25*$G5</f>
        <v>38814.597109968163</v>
      </c>
      <c r="E25" s="48">
        <f t="shared" ref="E25:E30" si="6">H14</f>
        <v>13.476190476190499</v>
      </c>
      <c r="F25" s="47">
        <f>IFERROR(E25/SUM(E24:E30),0)</f>
        <v>4.9821551461997744E-2</v>
      </c>
      <c r="G25" s="44">
        <f>F25*$G6</f>
        <v>16031.080613927013</v>
      </c>
      <c r="H25" s="47">
        <f>IF($E14="SI",1,0)/MAX(1,COUNTIF($E13:$E19,"SI"))</f>
        <v>0</v>
      </c>
      <c r="I25" s="44">
        <f>H25*$G7</f>
        <v>0</v>
      </c>
      <c r="J25" s="44">
        <f>($G8*0.5/7)+($G8*0.5*C25)</f>
        <v>4718.318603267905</v>
      </c>
      <c r="K25" s="47">
        <f>IF($F14="SI",1,0)/MAX(1,COUNTIF($F13:$F19,"SI"))</f>
        <v>0</v>
      </c>
      <c r="L25" s="44">
        <f t="shared" si="3"/>
        <v>0</v>
      </c>
      <c r="M25" s="59">
        <f t="shared" ref="M25:M30" si="7">D25+G25+I25+J25+L25</f>
        <v>59563.996327163084</v>
      </c>
      <c r="N25" s="60">
        <f>M25*$B8</f>
        <v>11317.159302160986</v>
      </c>
      <c r="O25" s="60">
        <f t="shared" si="4"/>
        <v>70881.155629324072</v>
      </c>
    </row>
    <row r="26" spans="1:15" ht="16" x14ac:dyDescent="0.2">
      <c r="A26" s="45" t="str">
        <f t="shared" si="2"/>
        <v>E-3</v>
      </c>
      <c r="B26" s="46">
        <f t="shared" si="5"/>
        <v>870</v>
      </c>
      <c r="C26" s="47">
        <f>IFERROR(B26/SUM(B24:B30),0)</f>
        <v>0.21307861866274799</v>
      </c>
      <c r="D26" s="44">
        <f>C26*$G5</f>
        <v>119324.02645113888</v>
      </c>
      <c r="E26" s="48">
        <f t="shared" si="6"/>
        <v>41.428571428571502</v>
      </c>
      <c r="F26" s="47">
        <f>IFERROR(E26/SUM(E24:E30),0)</f>
        <v>0.15316165997151251</v>
      </c>
      <c r="G26" s="44">
        <f>F26*$G6</f>
        <v>49282.827329033578</v>
      </c>
      <c r="H26" s="47">
        <f>IF($E15="SI",1,0)/MAX(1,COUNTIF($E13:$E19,"SI"))</f>
        <v>0.2</v>
      </c>
      <c r="I26" s="44">
        <f>H26*$G7</f>
        <v>19159.600000000002</v>
      </c>
      <c r="J26" s="44">
        <f>($G8*0.5/7)+($G8*0.5*C26)</f>
        <v>7915.4774325600929</v>
      </c>
      <c r="K26" s="47">
        <f>IF($F15="SI",1,0)/MAX(1,COUNTIF($F13:$F19,"SI"))</f>
        <v>0</v>
      </c>
      <c r="L26" s="44">
        <f t="shared" si="3"/>
        <v>0</v>
      </c>
      <c r="M26" s="59">
        <f t="shared" si="7"/>
        <v>195681.93121273257</v>
      </c>
      <c r="N26" s="60">
        <f>M26*$B8</f>
        <v>37179.566930419191</v>
      </c>
      <c r="O26" s="60">
        <f t="shared" si="4"/>
        <v>232861.49814315175</v>
      </c>
    </row>
    <row r="27" spans="1:15" ht="16" x14ac:dyDescent="0.2">
      <c r="A27" s="45" t="str">
        <f t="shared" si="2"/>
        <v>E-4</v>
      </c>
      <c r="B27" s="46">
        <f t="shared" si="5"/>
        <v>300</v>
      </c>
      <c r="C27" s="47">
        <f>IFERROR(B27/SUM(B24:B30),0)</f>
        <v>7.3475385745775168E-2</v>
      </c>
      <c r="D27" s="44">
        <f>C27*$G5</f>
        <v>41146.216017634091</v>
      </c>
      <c r="E27" s="48">
        <f t="shared" si="6"/>
        <v>14.28571428571431</v>
      </c>
      <c r="F27" s="47">
        <f>IFERROR(E27/SUM(E24:E30),0)</f>
        <v>5.2814365507418103E-2</v>
      </c>
      <c r="G27" s="44">
        <f>F27*$G6</f>
        <v>16994.078389321923</v>
      </c>
      <c r="H27" s="47">
        <f>IF($E16="SI",1,0)/MAX(1,COUNTIF($E13:$E19,"SI"))</f>
        <v>0.2</v>
      </c>
      <c r="I27" s="44">
        <f>H27*$G7</f>
        <v>19159.600000000002</v>
      </c>
      <c r="J27" s="44">
        <f>($G8*0.5/7)+($G8*0.5*C27)</f>
        <v>4810.9109373359925</v>
      </c>
      <c r="K27" s="47">
        <f>IF($F16="SI",1,0)/MAX(1,COUNTIF($F13:$F19,"SI"))</f>
        <v>0</v>
      </c>
      <c r="L27" s="44">
        <f t="shared" si="3"/>
        <v>0</v>
      </c>
      <c r="M27" s="59">
        <f t="shared" si="7"/>
        <v>82110.805344292021</v>
      </c>
      <c r="N27" s="60">
        <f>M27*$B8</f>
        <v>15601.053015415484</v>
      </c>
      <c r="O27" s="60">
        <f t="shared" si="4"/>
        <v>97711.858359707505</v>
      </c>
    </row>
    <row r="28" spans="1:15" ht="16" x14ac:dyDescent="0.2">
      <c r="A28" s="45" t="str">
        <f t="shared" si="2"/>
        <v>E-5</v>
      </c>
      <c r="B28" s="46">
        <f t="shared" si="5"/>
        <v>508</v>
      </c>
      <c r="C28" s="47">
        <f>IFERROR(B28/SUM(B24:B30),0)</f>
        <v>0.12441831986284595</v>
      </c>
      <c r="D28" s="44">
        <f>C28*$G5</f>
        <v>69674.259123193726</v>
      </c>
      <c r="E28" s="48">
        <f t="shared" si="6"/>
        <v>24.190476190476232</v>
      </c>
      <c r="F28" s="47">
        <f>IFERROR(E28/SUM(E24:E30),0)</f>
        <v>8.9432325592561326E-2</v>
      </c>
      <c r="G28" s="44">
        <f>F28*$G6</f>
        <v>28776.639405918457</v>
      </c>
      <c r="H28" s="47">
        <f>IF($E17="SI",1,0)/MAX(1,COUNTIF($E13:$E19,"SI"))</f>
        <v>0.2</v>
      </c>
      <c r="I28" s="44">
        <f>H28*$G7</f>
        <v>19159.600000000002</v>
      </c>
      <c r="J28" s="44">
        <f>($G8*0.5/7)+($G8*0.5*C28)</f>
        <v>5943.8053776984707</v>
      </c>
      <c r="K28" s="47">
        <f>IF($F17="SI",1,0)/MAX(1,COUNTIF($F13:$F19,"SI"))</f>
        <v>0</v>
      </c>
      <c r="L28" s="44">
        <f t="shared" si="3"/>
        <v>0</v>
      </c>
      <c r="M28" s="59">
        <f t="shared" si="7"/>
        <v>123554.30390681066</v>
      </c>
      <c r="N28" s="60">
        <f>M28*$B8</f>
        <v>23475.317742294024</v>
      </c>
      <c r="O28" s="60">
        <f t="shared" si="4"/>
        <v>147029.62164910469</v>
      </c>
    </row>
    <row r="29" spans="1:15" ht="16" x14ac:dyDescent="0.2">
      <c r="A29" s="45" t="str">
        <f t="shared" si="2"/>
        <v>E-6</v>
      </c>
      <c r="B29" s="46">
        <f t="shared" si="5"/>
        <v>900</v>
      </c>
      <c r="C29" s="47">
        <f>IFERROR(B29/SUM(B24:B30),0)</f>
        <v>0.2204261572373255</v>
      </c>
      <c r="D29" s="44">
        <f>C29*$G5</f>
        <v>123438.64805290228</v>
      </c>
      <c r="E29" s="48">
        <f t="shared" si="6"/>
        <v>81.818181818181742</v>
      </c>
      <c r="F29" s="47">
        <f>IFERROR(E29/SUM(E24:E30),0)</f>
        <v>0.30248227517884835</v>
      </c>
      <c r="G29" s="44">
        <f>F29*$G6</f>
        <v>97329.721684298027</v>
      </c>
      <c r="H29" s="47">
        <f>IF($E18="SI",1,0)/MAX(1,COUNTIF($E13:$E19,"SI"))</f>
        <v>0.2</v>
      </c>
      <c r="I29" s="44">
        <f>H29*$G7</f>
        <v>19159.600000000002</v>
      </c>
      <c r="J29" s="44">
        <f>($G8*0.5/7)+($G8*0.5*C29)</f>
        <v>8078.8756691508352</v>
      </c>
      <c r="K29" s="47">
        <f>IF($F18="SI",1,0)/MAX(1,COUNTIF($F13:$F19,"SI"))</f>
        <v>1</v>
      </c>
      <c r="L29" s="44">
        <f t="shared" si="3"/>
        <v>35294</v>
      </c>
      <c r="M29" s="59">
        <f t="shared" si="7"/>
        <v>283300.84540635115</v>
      </c>
      <c r="N29" s="60">
        <f>M29*$B8</f>
        <v>53827.160627206715</v>
      </c>
      <c r="O29" s="60">
        <f t="shared" si="4"/>
        <v>337128.00603355787</v>
      </c>
    </row>
    <row r="30" spans="1:15" ht="16" x14ac:dyDescent="0.2">
      <c r="A30" s="53" t="str">
        <f t="shared" si="2"/>
        <v>E-7</v>
      </c>
      <c r="B30" s="54">
        <f t="shared" si="5"/>
        <v>365</v>
      </c>
      <c r="C30" s="55">
        <f>IFERROR(B30/SUM(B24:B30),0)</f>
        <v>8.939505265735978E-2</v>
      </c>
      <c r="D30" s="56">
        <f>C30*$G5</f>
        <v>50061.229488121477</v>
      </c>
      <c r="E30" s="57">
        <f t="shared" si="6"/>
        <v>17.380952380952412</v>
      </c>
      <c r="F30" s="55">
        <f>IFERROR(E30/SUM(E24:E30),0)</f>
        <v>6.4257478034025359E-2</v>
      </c>
      <c r="G30" s="56">
        <f>F30*$G6</f>
        <v>20676.128707008338</v>
      </c>
      <c r="H30" s="55">
        <f>IF($E19="SI",1,0)/MAX(1,COUNTIF($E13:$E19,"SI"))</f>
        <v>0.2</v>
      </c>
      <c r="I30" s="56">
        <f>H30*$G7</f>
        <v>19159.600000000002</v>
      </c>
      <c r="J30" s="56">
        <f>($G8*0.5/7)+($G8*0.5*C30)</f>
        <v>5164.9404499492666</v>
      </c>
      <c r="K30" s="55">
        <f>IF($F19="SI",1,0)/MAX(1,COUNTIF($F13:$F19,"SI"))</f>
        <v>0</v>
      </c>
      <c r="L30" s="56">
        <f t="shared" si="3"/>
        <v>0</v>
      </c>
      <c r="M30" s="61">
        <f t="shared" si="7"/>
        <v>95061.898645079084</v>
      </c>
      <c r="N30" s="62">
        <f>M30*$B8</f>
        <v>18061.760742565028</v>
      </c>
      <c r="O30" s="62">
        <f t="shared" si="4"/>
        <v>113123.65938764412</v>
      </c>
    </row>
    <row r="31" spans="1:15" ht="16" x14ac:dyDescent="0.2">
      <c r="A31" s="50" t="s">
        <v>45</v>
      </c>
      <c r="B31" s="50">
        <f>SUM(B24:B30)</f>
        <v>4083</v>
      </c>
      <c r="C31" s="50"/>
      <c r="D31" s="51">
        <f>SUM(D24:D30)</f>
        <v>560000</v>
      </c>
      <c r="E31" s="50"/>
      <c r="F31" s="50"/>
      <c r="G31" s="51">
        <f>SUM(G24:G30)</f>
        <v>321770</v>
      </c>
      <c r="H31" s="50"/>
      <c r="I31" s="51">
        <f>SUM(I24:I30)</f>
        <v>95798.000000000015</v>
      </c>
      <c r="J31" s="51">
        <f>SUM(J24:J30)</f>
        <v>44477</v>
      </c>
      <c r="K31" s="50"/>
      <c r="L31" s="51">
        <f>SUM(L24:L30)</f>
        <v>35294</v>
      </c>
      <c r="M31" s="51">
        <f>SUM(M24:M30)</f>
        <v>1057339</v>
      </c>
      <c r="N31" s="51">
        <f>SUM(N24:N30)</f>
        <v>200894.41000000003</v>
      </c>
      <c r="O31" s="51">
        <f>SUM(O24:O30)</f>
        <v>1258233.4100000001</v>
      </c>
    </row>
    <row r="33" spans="1:15" x14ac:dyDescent="0.2">
      <c r="A33" s="69" t="s">
        <v>60</v>
      </c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</row>
  </sheetData>
  <mergeCells count="6">
    <mergeCell ref="A33:O33"/>
    <mergeCell ref="A1:L1"/>
    <mergeCell ref="A3:D3"/>
    <mergeCell ref="F3:L3"/>
    <mergeCell ref="A11:L11"/>
    <mergeCell ref="A22:L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E085E-BD7B-F24B-BA3A-EFBF1D13B97D}">
  <dimension ref="A1:O33"/>
  <sheetViews>
    <sheetView showGridLines="0" tabSelected="1" workbookViewId="0">
      <selection activeCell="L18" sqref="L18"/>
    </sheetView>
  </sheetViews>
  <sheetFormatPr baseColWidth="10" defaultColWidth="8.83203125" defaultRowHeight="15" x14ac:dyDescent="0.2"/>
  <cols>
    <col min="1" max="1" width="16.83203125" style="23" customWidth="1"/>
    <col min="2" max="2" width="26" style="23" customWidth="1"/>
    <col min="3" max="5" width="14" style="23" customWidth="1"/>
    <col min="6" max="6" width="20.5" style="23" bestFit="1" customWidth="1"/>
    <col min="7" max="11" width="14" style="23" customWidth="1"/>
    <col min="12" max="14" width="16" style="23" customWidth="1"/>
    <col min="15" max="15" width="13" style="23" customWidth="1"/>
    <col min="16" max="16384" width="8.83203125" style="23"/>
  </cols>
  <sheetData>
    <row r="1" spans="1:12" ht="25" customHeight="1" x14ac:dyDescent="0.2">
      <c r="A1" s="66" t="s">
        <v>73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</row>
    <row r="3" spans="1:12" x14ac:dyDescent="0.2">
      <c r="A3" s="68" t="s">
        <v>0</v>
      </c>
      <c r="B3" s="67"/>
      <c r="C3" s="67"/>
      <c r="D3" s="67"/>
      <c r="F3" s="68" t="s">
        <v>1</v>
      </c>
      <c r="G3" s="67"/>
      <c r="H3" s="67"/>
      <c r="I3" s="67"/>
      <c r="J3" s="67"/>
      <c r="K3" s="67"/>
      <c r="L3" s="67"/>
    </row>
    <row r="4" spans="1:12" ht="32" x14ac:dyDescent="0.2">
      <c r="A4" s="31" t="s">
        <v>2</v>
      </c>
      <c r="B4" s="32">
        <v>157</v>
      </c>
      <c r="C4" s="31" t="s">
        <v>3</v>
      </c>
      <c r="F4" s="24" t="s">
        <v>4</v>
      </c>
      <c r="G4" s="24" t="s">
        <v>5</v>
      </c>
    </row>
    <row r="5" spans="1:12" ht="32" x14ac:dyDescent="0.2">
      <c r="A5" s="31" t="s">
        <v>6</v>
      </c>
      <c r="B5" s="33" t="s">
        <v>7</v>
      </c>
      <c r="C5" s="31" t="s">
        <v>8</v>
      </c>
      <c r="F5" s="31" t="s">
        <v>9</v>
      </c>
      <c r="G5" s="34">
        <v>456000</v>
      </c>
    </row>
    <row r="6" spans="1:12" ht="32" x14ac:dyDescent="0.2">
      <c r="A6" s="31" t="s">
        <v>10</v>
      </c>
      <c r="B6" s="33" t="s">
        <v>11</v>
      </c>
      <c r="C6" s="31" t="s">
        <v>8</v>
      </c>
      <c r="F6" s="31" t="s">
        <v>12</v>
      </c>
      <c r="G6" s="34">
        <v>456000</v>
      </c>
    </row>
    <row r="7" spans="1:12" ht="32" x14ac:dyDescent="0.2">
      <c r="A7" s="31" t="s">
        <v>13</v>
      </c>
      <c r="B7" s="35">
        <v>1</v>
      </c>
      <c r="C7" s="31" t="s">
        <v>14</v>
      </c>
      <c r="F7" s="31" t="s">
        <v>15</v>
      </c>
      <c r="G7" s="34">
        <v>56987</v>
      </c>
    </row>
    <row r="8" spans="1:12" ht="16" x14ac:dyDescent="0.2">
      <c r="A8" s="31" t="s">
        <v>16</v>
      </c>
      <c r="B8" s="36">
        <v>0.19</v>
      </c>
      <c r="C8" s="31" t="s">
        <v>17</v>
      </c>
      <c r="F8" s="31" t="s">
        <v>18</v>
      </c>
      <c r="G8" s="34">
        <v>56789</v>
      </c>
    </row>
    <row r="9" spans="1:12" ht="16" x14ac:dyDescent="0.2">
      <c r="B9" s="25"/>
      <c r="F9" s="31" t="s">
        <v>19</v>
      </c>
      <c r="G9" s="34">
        <v>45678</v>
      </c>
    </row>
    <row r="10" spans="1:12" x14ac:dyDescent="0.2">
      <c r="B10" s="25"/>
      <c r="F10" s="37"/>
    </row>
    <row r="11" spans="1:12" x14ac:dyDescent="0.2">
      <c r="A11" s="68" t="s">
        <v>20</v>
      </c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</row>
    <row r="12" spans="1:12" ht="32" x14ac:dyDescent="0.2">
      <c r="A12" s="24" t="s">
        <v>21</v>
      </c>
      <c r="B12" s="24" t="s">
        <v>22</v>
      </c>
      <c r="C12" s="24" t="s">
        <v>23</v>
      </c>
      <c r="D12" s="24" t="s">
        <v>24</v>
      </c>
      <c r="E12" s="24" t="s">
        <v>25</v>
      </c>
      <c r="F12" s="24" t="s">
        <v>26</v>
      </c>
      <c r="G12" s="24" t="s">
        <v>27</v>
      </c>
      <c r="H12" s="24" t="s">
        <v>28</v>
      </c>
      <c r="I12" s="24" t="s">
        <v>29</v>
      </c>
    </row>
    <row r="13" spans="1:12" ht="16" x14ac:dyDescent="0.2">
      <c r="A13" s="31" t="s">
        <v>30</v>
      </c>
      <c r="B13" s="31" t="s">
        <v>31</v>
      </c>
      <c r="C13" s="32">
        <v>987</v>
      </c>
      <c r="D13" s="33">
        <v>0.79166666666666663</v>
      </c>
      <c r="E13" s="35" t="s">
        <v>33</v>
      </c>
      <c r="F13" s="35" t="s">
        <v>33</v>
      </c>
      <c r="G13" s="42">
        <f>IF(D13="",0,MAX(0,D13-$B6)/MAX(0.000001,(D13-$B5)))</f>
        <v>9.0909090909090828E-2</v>
      </c>
      <c r="H13" s="38">
        <f>C13*G13</f>
        <v>89.727272727272648</v>
      </c>
      <c r="I13" s="38">
        <f>C13-H13</f>
        <v>897.27272727272737</v>
      </c>
      <c r="K13" s="64"/>
    </row>
    <row r="14" spans="1:12" ht="16" x14ac:dyDescent="0.2">
      <c r="A14" s="31" t="s">
        <v>34</v>
      </c>
      <c r="B14" s="31" t="s">
        <v>35</v>
      </c>
      <c r="C14" s="32">
        <v>569</v>
      </c>
      <c r="D14" s="33">
        <v>0.77083333333333337</v>
      </c>
      <c r="E14" s="35" t="s">
        <v>33</v>
      </c>
      <c r="F14" s="35" t="s">
        <v>33</v>
      </c>
      <c r="G14" s="42">
        <f>IF(D14="",0,MAX(0,D14-$B6)/MAX(0.000001,(D14-$B5)))</f>
        <v>4.76190476190477E-2</v>
      </c>
      <c r="H14" s="38">
        <f t="shared" ref="H14:H19" si="0">C14*G14</f>
        <v>27.095238095238141</v>
      </c>
      <c r="I14" s="38">
        <f t="shared" ref="I14:I19" si="1">C14-H14</f>
        <v>541.90476190476181</v>
      </c>
    </row>
    <row r="15" spans="1:12" ht="16" x14ac:dyDescent="0.2">
      <c r="A15" s="31" t="s">
        <v>36</v>
      </c>
      <c r="B15" s="31" t="s">
        <v>37</v>
      </c>
      <c r="C15" s="32">
        <v>400</v>
      </c>
      <c r="D15" s="33">
        <v>0.77083333333333337</v>
      </c>
      <c r="E15" s="35" t="s">
        <v>32</v>
      </c>
      <c r="F15" s="35" t="s">
        <v>33</v>
      </c>
      <c r="G15" s="42">
        <f>IF(D15="",0,MAX(0,D15-$B6)/MAX(0.000001,(D15-$B5)))</f>
        <v>4.76190476190477E-2</v>
      </c>
      <c r="H15" s="38">
        <f t="shared" si="0"/>
        <v>19.047619047619079</v>
      </c>
      <c r="I15" s="38">
        <f t="shared" si="1"/>
        <v>380.95238095238091</v>
      </c>
    </row>
    <row r="16" spans="1:12" ht="16" x14ac:dyDescent="0.2">
      <c r="A16" s="31" t="s">
        <v>38</v>
      </c>
      <c r="B16" s="31" t="s">
        <v>37</v>
      </c>
      <c r="C16" s="32">
        <v>506</v>
      </c>
      <c r="D16" s="33">
        <v>0.77083333333333337</v>
      </c>
      <c r="E16" s="35" t="s">
        <v>32</v>
      </c>
      <c r="F16" s="35" t="s">
        <v>33</v>
      </c>
      <c r="G16" s="42">
        <f>IF(D16="",0,MAX(0,D16-$B6)/MAX(0.000001,(D16-$B5)))</f>
        <v>4.76190476190477E-2</v>
      </c>
      <c r="H16" s="38">
        <f t="shared" si="0"/>
        <v>24.095238095238138</v>
      </c>
      <c r="I16" s="38">
        <f t="shared" si="1"/>
        <v>481.90476190476187</v>
      </c>
    </row>
    <row r="17" spans="1:15" ht="16" x14ac:dyDescent="0.2">
      <c r="A17" s="31" t="s">
        <v>39</v>
      </c>
      <c r="B17" s="31" t="s">
        <v>40</v>
      </c>
      <c r="C17" s="32">
        <v>497</v>
      </c>
      <c r="D17" s="33">
        <v>0.77083333333333337</v>
      </c>
      <c r="E17" s="35" t="s">
        <v>32</v>
      </c>
      <c r="F17" s="35" t="s">
        <v>33</v>
      </c>
      <c r="G17" s="42">
        <f>IF(D17="",0,MAX(0,D17-$B6)/MAX(0.000001,(D17-$B5)))</f>
        <v>4.76190476190477E-2</v>
      </c>
      <c r="H17" s="38">
        <f t="shared" si="0"/>
        <v>23.666666666666707</v>
      </c>
      <c r="I17" s="38">
        <f t="shared" si="1"/>
        <v>473.33333333333331</v>
      </c>
    </row>
    <row r="18" spans="1:15" ht="16" x14ac:dyDescent="0.2">
      <c r="A18" s="31" t="s">
        <v>41</v>
      </c>
      <c r="B18" s="31" t="s">
        <v>42</v>
      </c>
      <c r="C18" s="32">
        <v>900</v>
      </c>
      <c r="D18" s="33">
        <v>0.79166666666666663</v>
      </c>
      <c r="E18" s="35" t="s">
        <v>32</v>
      </c>
      <c r="F18" s="35" t="s">
        <v>32</v>
      </c>
      <c r="G18" s="42">
        <f>IF(D18="",0,MAX(0,D18-$B6)/MAX(0.000001,(D18-$B5)))</f>
        <v>9.0909090909090828E-2</v>
      </c>
      <c r="H18" s="38">
        <f t="shared" si="0"/>
        <v>81.818181818181742</v>
      </c>
      <c r="I18" s="38">
        <f t="shared" si="1"/>
        <v>818.18181818181824</v>
      </c>
    </row>
    <row r="19" spans="1:15" ht="16" x14ac:dyDescent="0.2">
      <c r="A19" s="31" t="s">
        <v>43</v>
      </c>
      <c r="B19" s="31" t="s">
        <v>44</v>
      </c>
      <c r="C19" s="32">
        <v>365</v>
      </c>
      <c r="D19" s="33">
        <v>0.77083333333333337</v>
      </c>
      <c r="E19" s="35" t="s">
        <v>32</v>
      </c>
      <c r="F19" s="35" t="s">
        <v>33</v>
      </c>
      <c r="G19" s="42">
        <f>IF(D19="",0,MAX(0,D19-$B6)/MAX(0.000001,(D19-$B5)))</f>
        <v>4.76190476190477E-2</v>
      </c>
      <c r="H19" s="38">
        <f t="shared" si="0"/>
        <v>17.380952380952412</v>
      </c>
      <c r="I19" s="38">
        <f t="shared" si="1"/>
        <v>347.61904761904759</v>
      </c>
    </row>
    <row r="20" spans="1:15" ht="16" x14ac:dyDescent="0.2">
      <c r="A20" s="39" t="s">
        <v>45</v>
      </c>
      <c r="B20" s="39"/>
      <c r="C20" s="40">
        <f>SUM(C13:C19)</f>
        <v>4224</v>
      </c>
      <c r="D20" s="39"/>
      <c r="E20" s="39"/>
      <c r="F20" s="39"/>
      <c r="G20" s="39"/>
      <c r="H20" s="41">
        <f>SUM(H13:H19)</f>
        <v>282.83116883116884</v>
      </c>
      <c r="I20" s="41">
        <f>SUM(I13:I19)</f>
        <v>3941.1688311688313</v>
      </c>
    </row>
    <row r="22" spans="1:15" x14ac:dyDescent="0.2">
      <c r="A22" s="68" t="s">
        <v>46</v>
      </c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</row>
    <row r="23" spans="1:15" ht="16" x14ac:dyDescent="0.2">
      <c r="A23" s="43" t="s">
        <v>21</v>
      </c>
      <c r="B23" s="43" t="s">
        <v>47</v>
      </c>
      <c r="C23" s="43" t="s">
        <v>48</v>
      </c>
      <c r="D23" s="43" t="s">
        <v>49</v>
      </c>
      <c r="E23" s="43" t="s">
        <v>50</v>
      </c>
      <c r="F23" s="43" t="s">
        <v>51</v>
      </c>
      <c r="G23" s="43" t="s">
        <v>52</v>
      </c>
      <c r="H23" s="43" t="s">
        <v>53</v>
      </c>
      <c r="I23" s="43" t="s">
        <v>54</v>
      </c>
      <c r="J23" s="43" t="s">
        <v>55</v>
      </c>
      <c r="K23" s="43" t="s">
        <v>56</v>
      </c>
      <c r="L23" s="43" t="s">
        <v>57</v>
      </c>
      <c r="M23" s="24" t="s">
        <v>58</v>
      </c>
      <c r="N23" s="24" t="s">
        <v>16</v>
      </c>
      <c r="O23" s="24" t="s">
        <v>59</v>
      </c>
    </row>
    <row r="24" spans="1:15" ht="16" x14ac:dyDescent="0.2">
      <c r="A24" s="45" t="str">
        <f t="shared" ref="A24:A30" si="2">A13</f>
        <v>E-1</v>
      </c>
      <c r="B24" s="46">
        <f>C13</f>
        <v>987</v>
      </c>
      <c r="C24" s="47">
        <f>IFERROR(B24/SUM(B24:B30),0)</f>
        <v>0.23366477272727273</v>
      </c>
      <c r="D24" s="44">
        <f>C24*$G5</f>
        <v>106551.13636363637</v>
      </c>
      <c r="E24" s="48">
        <f>H13</f>
        <v>89.727272727272648</v>
      </c>
      <c r="F24" s="47">
        <f>IFERROR(E24/SUM(E24:E30),0)</f>
        <v>0.31724676278813452</v>
      </c>
      <c r="G24" s="44">
        <f>F24*$G6</f>
        <v>144664.52383138935</v>
      </c>
      <c r="H24" s="47">
        <f>IF($E13="SI",1,0)/MAX(1,COUNTIF($E13:$E19,"SI"))</f>
        <v>0</v>
      </c>
      <c r="I24" s="44">
        <f>H24*$G7</f>
        <v>0</v>
      </c>
      <c r="J24" s="44">
        <f>($G8*0.5/7)+($G8*0.5*C24)</f>
        <v>10691.151532061689</v>
      </c>
      <c r="K24" s="47">
        <f>IF($F13="SI",1,0)/MAX(1,COUNTIF($F13:$F19,"SI"))</f>
        <v>0</v>
      </c>
      <c r="L24" s="44">
        <f t="shared" ref="L24:L30" si="3">K24*$G$9</f>
        <v>0</v>
      </c>
      <c r="M24" s="60">
        <f>D24+G24+I24+J24+L24</f>
        <v>261906.81172708742</v>
      </c>
      <c r="N24" s="60">
        <f>M24*$B8</f>
        <v>49762.294228146609</v>
      </c>
      <c r="O24" s="60">
        <f t="shared" ref="O24:O30" si="4">M24+N24</f>
        <v>311669.10595523403</v>
      </c>
    </row>
    <row r="25" spans="1:15" ht="16" x14ac:dyDescent="0.2">
      <c r="A25" s="45" t="str">
        <f t="shared" si="2"/>
        <v>E-2</v>
      </c>
      <c r="B25" s="46">
        <f t="shared" ref="B25:B30" si="5">C14</f>
        <v>569</v>
      </c>
      <c r="C25" s="47">
        <f>IFERROR(B25/SUM(B24:B30),0)</f>
        <v>0.13470643939393939</v>
      </c>
      <c r="D25" s="44">
        <f>C25*$G5</f>
        <v>61426.13636363636</v>
      </c>
      <c r="E25" s="48">
        <f t="shared" ref="E25:E30" si="6">H14</f>
        <v>27.095238095238141</v>
      </c>
      <c r="F25" s="47">
        <f>IFERROR(E25/SUM(E24:E30),0)</f>
        <v>9.5800042856705708E-2</v>
      </c>
      <c r="G25" s="44">
        <f>F25*$G6</f>
        <v>43684.819542657802</v>
      </c>
      <c r="H25" s="47">
        <f>IF($E14="SI",1,0)/MAX(1,COUNTIF($E13:$E19,"SI"))</f>
        <v>0</v>
      </c>
      <c r="I25" s="44">
        <f>H25*$G7</f>
        <v>0</v>
      </c>
      <c r="J25" s="44">
        <f>($G8*0.5/7)+($G8*0.5*C25)</f>
        <v>7881.2791362283551</v>
      </c>
      <c r="K25" s="47">
        <f>IF($F14="SI",1,0)/MAX(1,COUNTIF($F13:$F19,"SI"))</f>
        <v>0</v>
      </c>
      <c r="L25" s="44">
        <f t="shared" si="3"/>
        <v>0</v>
      </c>
      <c r="M25" s="59">
        <f t="shared" ref="M25:M30" si="7">D25+G25+I25+J25+L25</f>
        <v>112992.23504252253</v>
      </c>
      <c r="N25" s="60">
        <f>M25*$B8</f>
        <v>21468.524658079281</v>
      </c>
      <c r="O25" s="60">
        <f t="shared" si="4"/>
        <v>134460.7597006018</v>
      </c>
    </row>
    <row r="26" spans="1:15" ht="16" x14ac:dyDescent="0.2">
      <c r="A26" s="45" t="str">
        <f t="shared" si="2"/>
        <v>E-3</v>
      </c>
      <c r="B26" s="46">
        <f t="shared" si="5"/>
        <v>400</v>
      </c>
      <c r="C26" s="47">
        <f>IFERROR(B26/SUM(B24:B30),0)</f>
        <v>9.4696969696969696E-2</v>
      </c>
      <c r="D26" s="44">
        <f>C26*$G5</f>
        <v>43181.818181818184</v>
      </c>
      <c r="E26" s="48">
        <f t="shared" si="6"/>
        <v>19.047619047619079</v>
      </c>
      <c r="F26" s="47">
        <f>IFERROR(E26/SUM(E24:E30),0)</f>
        <v>6.7346251568861648E-2</v>
      </c>
      <c r="G26" s="44">
        <f>F26*$G6</f>
        <v>30709.89071540091</v>
      </c>
      <c r="H26" s="47">
        <f>IF($E15="SI",1,0)/MAX(1,COUNTIF($E13:$E19,"SI"))</f>
        <v>0.2</v>
      </c>
      <c r="I26" s="44">
        <f>H26*$G7</f>
        <v>11397.400000000001</v>
      </c>
      <c r="J26" s="44">
        <f>($G8*0.5/7)+($G8*0.5*C26)</f>
        <v>6745.2302489177491</v>
      </c>
      <c r="K26" s="47">
        <f>IF($F15="SI",1,0)/MAX(1,COUNTIF($F13:$F19,"SI"))</f>
        <v>0</v>
      </c>
      <c r="L26" s="44">
        <f t="shared" si="3"/>
        <v>0</v>
      </c>
      <c r="M26" s="59">
        <f t="shared" si="7"/>
        <v>92034.339146136845</v>
      </c>
      <c r="N26" s="60">
        <f>M26*$B8</f>
        <v>17486.524437766002</v>
      </c>
      <c r="O26" s="60">
        <f t="shared" si="4"/>
        <v>109520.86358390284</v>
      </c>
    </row>
    <row r="27" spans="1:15" ht="16" x14ac:dyDescent="0.2">
      <c r="A27" s="45" t="str">
        <f t="shared" si="2"/>
        <v>E-4</v>
      </c>
      <c r="B27" s="46">
        <f t="shared" si="5"/>
        <v>506</v>
      </c>
      <c r="C27" s="47">
        <f>IFERROR(B27/SUM(B24:B30),0)</f>
        <v>0.11979166666666667</v>
      </c>
      <c r="D27" s="44">
        <f>C27*$G5</f>
        <v>54625</v>
      </c>
      <c r="E27" s="48">
        <f t="shared" si="6"/>
        <v>24.095238095238138</v>
      </c>
      <c r="F27" s="47">
        <f>IFERROR(E27/SUM(E24:E30),0)</f>
        <v>8.5193008234609999E-2</v>
      </c>
      <c r="G27" s="44">
        <f>F27*$G6</f>
        <v>38848.011754982159</v>
      </c>
      <c r="H27" s="47">
        <f>IF($E16="SI",1,0)/MAX(1,COUNTIF($E13:$E19,"SI"))</f>
        <v>0.2</v>
      </c>
      <c r="I27" s="44">
        <f>H27*$G7</f>
        <v>11397.400000000001</v>
      </c>
      <c r="J27" s="44">
        <f>($G8*0.5/7)+($G8*0.5*C27)</f>
        <v>7457.7816220238092</v>
      </c>
      <c r="K27" s="47">
        <f>IF($F16="SI",1,0)/MAX(1,COUNTIF($F13:$F19,"SI"))</f>
        <v>0</v>
      </c>
      <c r="L27" s="44">
        <f t="shared" si="3"/>
        <v>0</v>
      </c>
      <c r="M27" s="59">
        <f t="shared" si="7"/>
        <v>112328.19337700598</v>
      </c>
      <c r="N27" s="60">
        <f>M27*$B8</f>
        <v>21342.356741631138</v>
      </c>
      <c r="O27" s="60">
        <f t="shared" si="4"/>
        <v>133670.55011863713</v>
      </c>
    </row>
    <row r="28" spans="1:15" ht="16" x14ac:dyDescent="0.2">
      <c r="A28" s="45" t="str">
        <f t="shared" si="2"/>
        <v>E-5</v>
      </c>
      <c r="B28" s="46">
        <f t="shared" si="5"/>
        <v>497</v>
      </c>
      <c r="C28" s="47">
        <f>IFERROR(B28/SUM(B24:B30),0)</f>
        <v>0.11766098484848485</v>
      </c>
      <c r="D28" s="44">
        <f>C28*$G5</f>
        <v>53653.409090909088</v>
      </c>
      <c r="E28" s="48">
        <f t="shared" si="6"/>
        <v>23.666666666666707</v>
      </c>
      <c r="F28" s="47">
        <f>IFERROR(E28/SUM(E24:E30),0)</f>
        <v>8.3677717574310612E-2</v>
      </c>
      <c r="G28" s="44">
        <f>F28*$G6</f>
        <v>38157.03921388564</v>
      </c>
      <c r="H28" s="47">
        <f>IF($E17="SI",1,0)/MAX(1,COUNTIF($E13:$E19,"SI"))</f>
        <v>0.2</v>
      </c>
      <c r="I28" s="44">
        <f>H28*$G7</f>
        <v>11397.400000000001</v>
      </c>
      <c r="J28" s="44">
        <f>($G8*0.5/7)+($G8*0.5*C28)</f>
        <v>7397.2819771374452</v>
      </c>
      <c r="K28" s="47">
        <f>IF($F17="SI",1,0)/MAX(1,COUNTIF($F13:$F19,"SI"))</f>
        <v>0</v>
      </c>
      <c r="L28" s="44">
        <f t="shared" si="3"/>
        <v>0</v>
      </c>
      <c r="M28" s="59">
        <f t="shared" si="7"/>
        <v>110605.13028193217</v>
      </c>
      <c r="N28" s="60">
        <f>M28*$B8</f>
        <v>21014.974753567112</v>
      </c>
      <c r="O28" s="60">
        <f t="shared" si="4"/>
        <v>131620.10503549929</v>
      </c>
    </row>
    <row r="29" spans="1:15" ht="16" x14ac:dyDescent="0.2">
      <c r="A29" s="45" t="str">
        <f t="shared" si="2"/>
        <v>E-6</v>
      </c>
      <c r="B29" s="46">
        <f t="shared" si="5"/>
        <v>900</v>
      </c>
      <c r="C29" s="47">
        <f>IFERROR(B29/SUM(B24:B30),0)</f>
        <v>0.21306818181818182</v>
      </c>
      <c r="D29" s="44">
        <f>C29*$G5</f>
        <v>97159.090909090912</v>
      </c>
      <c r="E29" s="48">
        <f t="shared" si="6"/>
        <v>81.818181818181742</v>
      </c>
      <c r="F29" s="47">
        <f>IFERROR(E29/SUM(E24:E30),0)</f>
        <v>0.28928276242079137</v>
      </c>
      <c r="G29" s="44">
        <f>F29*$G6</f>
        <v>131912.93966388085</v>
      </c>
      <c r="H29" s="47">
        <f>IF($E18="SI",1,0)/MAX(1,COUNTIF($E13:$E19,"SI"))</f>
        <v>0.2</v>
      </c>
      <c r="I29" s="44">
        <f>H29*$G7</f>
        <v>11397.400000000001</v>
      </c>
      <c r="J29" s="44">
        <f>($G8*0.5/7)+($G8*0.5*C29)</f>
        <v>10106.321631493507</v>
      </c>
      <c r="K29" s="47">
        <f>IF($F18="SI",1,0)/MAX(1,COUNTIF($F13:$F19,"SI"))</f>
        <v>1</v>
      </c>
      <c r="L29" s="44">
        <f t="shared" si="3"/>
        <v>45678</v>
      </c>
      <c r="M29" s="59">
        <f t="shared" si="7"/>
        <v>296253.75220446527</v>
      </c>
      <c r="N29" s="60">
        <f>M29*$B8</f>
        <v>56288.212918848403</v>
      </c>
      <c r="O29" s="60">
        <f t="shared" si="4"/>
        <v>352541.96512331365</v>
      </c>
    </row>
    <row r="30" spans="1:15" ht="16" x14ac:dyDescent="0.2">
      <c r="A30" s="53" t="str">
        <f t="shared" si="2"/>
        <v>E-7</v>
      </c>
      <c r="B30" s="54">
        <f t="shared" si="5"/>
        <v>365</v>
      </c>
      <c r="C30" s="55">
        <f>IFERROR(B30/SUM(B24:B30),0)</f>
        <v>8.6410984848484848E-2</v>
      </c>
      <c r="D30" s="56">
        <f>C30*$G5</f>
        <v>39403.409090909088</v>
      </c>
      <c r="E30" s="57">
        <f t="shared" si="6"/>
        <v>17.380952380952412</v>
      </c>
      <c r="F30" s="55">
        <f>IFERROR(E30/SUM(E24:E30),0)</f>
        <v>6.1453454556586261E-2</v>
      </c>
      <c r="G30" s="56">
        <f>F30*$G6</f>
        <v>28022.775277803335</v>
      </c>
      <c r="H30" s="55">
        <f>IF($E19="SI",1,0)/MAX(1,COUNTIF($E13:$E19,"SI"))</f>
        <v>0.2</v>
      </c>
      <c r="I30" s="56">
        <f>H30*$G7</f>
        <v>11397.400000000001</v>
      </c>
      <c r="J30" s="56">
        <f>($G8*0.5/7)+($G8*0.5*C30)</f>
        <v>6509.9538521374452</v>
      </c>
      <c r="K30" s="55">
        <f>IF($F19="SI",1,0)/MAX(1,COUNTIF($F13:$F19,"SI"))</f>
        <v>0</v>
      </c>
      <c r="L30" s="56">
        <f t="shared" si="3"/>
        <v>0</v>
      </c>
      <c r="M30" s="61">
        <f t="shared" si="7"/>
        <v>85333.538220849863</v>
      </c>
      <c r="N30" s="62">
        <f>M30*$B8</f>
        <v>16213.372261961475</v>
      </c>
      <c r="O30" s="62">
        <f t="shared" si="4"/>
        <v>101546.91048281133</v>
      </c>
    </row>
    <row r="31" spans="1:15" ht="16" x14ac:dyDescent="0.2">
      <c r="A31" s="50" t="s">
        <v>45</v>
      </c>
      <c r="B31" s="50">
        <f>SUM(B24:B30)</f>
        <v>4224</v>
      </c>
      <c r="C31" s="50"/>
      <c r="D31" s="51">
        <f>SUM(D24:D30)</f>
        <v>456000</v>
      </c>
      <c r="E31" s="50"/>
      <c r="F31" s="50"/>
      <c r="G31" s="51">
        <f>SUM(G24:G30)</f>
        <v>456000.00000000006</v>
      </c>
      <c r="H31" s="50"/>
      <c r="I31" s="51">
        <f>SUM(I24:I30)</f>
        <v>56987.000000000007</v>
      </c>
      <c r="J31" s="51">
        <f>SUM(J24:J30)</f>
        <v>56789</v>
      </c>
      <c r="K31" s="50"/>
      <c r="L31" s="51">
        <f>SUM(L24:L30)</f>
        <v>45678</v>
      </c>
      <c r="M31" s="51">
        <f>SUM(M24:M30)</f>
        <v>1071454</v>
      </c>
      <c r="N31" s="51">
        <f>SUM(N24:N30)</f>
        <v>203576.26000000004</v>
      </c>
      <c r="O31" s="51">
        <f>SUM(O24:O30)</f>
        <v>1275030.26</v>
      </c>
    </row>
    <row r="33" spans="1:15" x14ac:dyDescent="0.2">
      <c r="A33" s="69" t="s">
        <v>60</v>
      </c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</row>
  </sheetData>
  <mergeCells count="6">
    <mergeCell ref="A33:O33"/>
    <mergeCell ref="A1:L1"/>
    <mergeCell ref="A3:D3"/>
    <mergeCell ref="F3:L3"/>
    <mergeCell ref="A11:L11"/>
    <mergeCell ref="A22:L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"/>
  <sheetViews>
    <sheetView showGridLines="0" workbookViewId="0">
      <pane ySplit="1" topLeftCell="A2" activePane="bottomLeft" state="frozen"/>
      <selection sqref="A1:XFD1048576"/>
      <selection pane="bottomLeft" sqref="A1:XFD1048576"/>
    </sheetView>
  </sheetViews>
  <sheetFormatPr baseColWidth="10" defaultColWidth="8.83203125" defaultRowHeight="15" x14ac:dyDescent="0.2"/>
  <cols>
    <col min="1" max="1" width="16.83203125" style="23" customWidth="1"/>
    <col min="2" max="2" width="18.6640625" style="23" bestFit="1" customWidth="1"/>
    <col min="3" max="3" width="16" style="23" customWidth="1"/>
    <col min="4" max="4" width="22" style="23" customWidth="1"/>
    <col min="5" max="5" width="18.83203125" style="23" bestFit="1" customWidth="1"/>
    <col min="6" max="6" width="19" style="23" bestFit="1" customWidth="1"/>
    <col min="7" max="16384" width="8.83203125" style="23"/>
  </cols>
  <sheetData>
    <row r="1" spans="1:11" ht="25" customHeight="1" x14ac:dyDescent="0.2">
      <c r="A1" s="1" t="s">
        <v>73</v>
      </c>
      <c r="B1" s="1" t="s">
        <v>22</v>
      </c>
      <c r="C1" s="1" t="s">
        <v>23</v>
      </c>
      <c r="D1" s="1" t="s">
        <v>61</v>
      </c>
      <c r="E1" s="1" t="s">
        <v>25</v>
      </c>
      <c r="F1" s="26" t="s">
        <v>26</v>
      </c>
    </row>
    <row r="2" spans="1:11" x14ac:dyDescent="0.2">
      <c r="A2" s="27" t="s">
        <v>30</v>
      </c>
      <c r="B2" s="27" t="s">
        <v>31</v>
      </c>
      <c r="C2" s="28">
        <v>857</v>
      </c>
      <c r="D2" s="27" t="s">
        <v>32</v>
      </c>
      <c r="E2" s="27" t="s">
        <v>32</v>
      </c>
      <c r="F2" s="29" t="s">
        <v>33</v>
      </c>
    </row>
    <row r="3" spans="1:11" x14ac:dyDescent="0.2">
      <c r="A3" s="27" t="s">
        <v>34</v>
      </c>
      <c r="B3" s="27" t="s">
        <v>35</v>
      </c>
      <c r="C3" s="28">
        <v>283</v>
      </c>
      <c r="D3" s="27" t="s">
        <v>32</v>
      </c>
      <c r="E3" s="27" t="s">
        <v>33</v>
      </c>
      <c r="F3" s="29" t="s">
        <v>33</v>
      </c>
    </row>
    <row r="4" spans="1:11" x14ac:dyDescent="0.2">
      <c r="A4" s="27" t="s">
        <v>36</v>
      </c>
      <c r="B4" s="27" t="s">
        <v>37</v>
      </c>
      <c r="C4" s="28">
        <v>870</v>
      </c>
      <c r="D4" s="27" t="s">
        <v>32</v>
      </c>
      <c r="E4" s="27" t="s">
        <v>32</v>
      </c>
      <c r="F4" s="29" t="s">
        <v>33</v>
      </c>
    </row>
    <row r="5" spans="1:11" x14ac:dyDescent="0.2">
      <c r="A5" s="27" t="s">
        <v>38</v>
      </c>
      <c r="B5" s="27" t="s">
        <v>37</v>
      </c>
      <c r="C5" s="28">
        <v>300</v>
      </c>
      <c r="D5" s="27" t="s">
        <v>32</v>
      </c>
      <c r="E5" s="27" t="s">
        <v>32</v>
      </c>
      <c r="F5" s="29" t="s">
        <v>33</v>
      </c>
    </row>
    <row r="6" spans="1:11" x14ac:dyDescent="0.2">
      <c r="A6" s="27" t="s">
        <v>39</v>
      </c>
      <c r="B6" s="27" t="s">
        <v>40</v>
      </c>
      <c r="C6" s="28">
        <v>508</v>
      </c>
      <c r="D6" s="27" t="s">
        <v>33</v>
      </c>
      <c r="E6" s="27" t="s">
        <v>32</v>
      </c>
      <c r="F6" s="29" t="s">
        <v>33</v>
      </c>
    </row>
    <row r="7" spans="1:11" x14ac:dyDescent="0.2">
      <c r="A7" s="27" t="s">
        <v>41</v>
      </c>
      <c r="B7" s="27" t="s">
        <v>42</v>
      </c>
      <c r="C7" s="28">
        <v>900</v>
      </c>
      <c r="D7" s="27" t="s">
        <v>32</v>
      </c>
      <c r="E7" s="27" t="s">
        <v>32</v>
      </c>
      <c r="F7" s="29" t="s">
        <v>32</v>
      </c>
    </row>
    <row r="8" spans="1:11" x14ac:dyDescent="0.2">
      <c r="A8" s="27" t="s">
        <v>43</v>
      </c>
      <c r="B8" s="27" t="s">
        <v>44</v>
      </c>
      <c r="C8" s="28">
        <v>365</v>
      </c>
      <c r="D8" s="27" t="s">
        <v>32</v>
      </c>
      <c r="E8" s="27" t="s">
        <v>32</v>
      </c>
      <c r="F8" s="29" t="s">
        <v>33</v>
      </c>
    </row>
    <row r="12" spans="1:11" x14ac:dyDescent="0.2">
      <c r="A12" s="3" t="s">
        <v>62</v>
      </c>
      <c r="B12" s="70" t="s">
        <v>63</v>
      </c>
      <c r="C12" s="71"/>
      <c r="D12" s="71"/>
      <c r="E12" s="72"/>
    </row>
    <row r="13" spans="1:11" x14ac:dyDescent="0.2">
      <c r="D13" s="30">
        <v>0.79166666666666663</v>
      </c>
      <c r="G13" s="65" t="e">
        <f>IF(D13="",0,MAX(0,D13-$B6)/MAX(0.000001,(D13-$B5)))</f>
        <v>#VALUE!</v>
      </c>
      <c r="H13" s="23" t="e">
        <f>C13*G13</f>
        <v>#VALUE!</v>
      </c>
      <c r="I13" s="23" t="e">
        <f>C13-H13</f>
        <v>#VALUE!</v>
      </c>
      <c r="K13" s="64"/>
    </row>
    <row r="14" spans="1:11" x14ac:dyDescent="0.2">
      <c r="D14" s="30">
        <v>0.77083333333333337</v>
      </c>
      <c r="G14" s="65"/>
    </row>
    <row r="15" spans="1:11" x14ac:dyDescent="0.2">
      <c r="D15" s="30">
        <v>0.77083333333333337</v>
      </c>
      <c r="G15" s="65"/>
    </row>
    <row r="16" spans="1:11" x14ac:dyDescent="0.2">
      <c r="D16" s="30">
        <v>0.77083333333333337</v>
      </c>
      <c r="G16" s="65"/>
    </row>
    <row r="17" spans="1:15" x14ac:dyDescent="0.2">
      <c r="D17" s="30">
        <v>0.77083333333333337</v>
      </c>
      <c r="G17" s="65"/>
    </row>
    <row r="18" spans="1:15" x14ac:dyDescent="0.2">
      <c r="D18" s="30">
        <v>0.79166666666666663</v>
      </c>
      <c r="G18" s="65"/>
    </row>
    <row r="19" spans="1:15" x14ac:dyDescent="0.2">
      <c r="D19" s="30">
        <v>0.77083333333333337</v>
      </c>
      <c r="G19" s="65"/>
    </row>
    <row r="24" spans="1:15" x14ac:dyDescent="0.2">
      <c r="A24" s="49"/>
      <c r="B24" s="49">
        <f>C13</f>
        <v>0</v>
      </c>
      <c r="C24" s="49">
        <f>IFERROR(B24/SUM(B24:B30),0)</f>
        <v>0</v>
      </c>
      <c r="D24" s="44">
        <f>C24*$G5</f>
        <v>0</v>
      </c>
      <c r="E24" s="49" t="e">
        <f>H13</f>
        <v>#VALUE!</v>
      </c>
      <c r="F24" s="49">
        <f>IFERROR(E24/SUM(E24:E30),0)</f>
        <v>0</v>
      </c>
      <c r="G24" s="44">
        <f>F24*$G6</f>
        <v>0</v>
      </c>
      <c r="H24" s="49">
        <f>IF($E13="SI",1,0)/MAX(1,COUNTIF($E13:$E19,"SI"))</f>
        <v>0</v>
      </c>
      <c r="I24" s="44">
        <f>H24*$G7</f>
        <v>0</v>
      </c>
      <c r="J24" s="44">
        <f>($G8*0.5/7)+($G8*0.5*C24)</f>
        <v>0</v>
      </c>
      <c r="K24" s="49">
        <f>IF($F13="SI",1,0)/MAX(1,COUNTIF($F13:$F19,"SI"))</f>
        <v>0</v>
      </c>
      <c r="L24" s="44">
        <f t="shared" ref="L24:L30" si="0">K24*$G$9</f>
        <v>0</v>
      </c>
      <c r="M24" s="63">
        <f>D24+G24+I24+J24+L24</f>
        <v>0</v>
      </c>
      <c r="N24" s="63"/>
      <c r="O24" s="63"/>
    </row>
    <row r="25" spans="1:15" x14ac:dyDescent="0.2">
      <c r="A25" s="49"/>
      <c r="B25" s="49"/>
      <c r="C25" s="49">
        <f>IFERROR(B25/SUM(B24:B30),0)</f>
        <v>0</v>
      </c>
      <c r="D25" s="44"/>
      <c r="E25" s="49"/>
      <c r="F25" s="49"/>
      <c r="G25" s="44"/>
      <c r="H25" s="49"/>
      <c r="I25" s="44"/>
      <c r="J25" s="44"/>
      <c r="K25" s="49"/>
      <c r="L25" s="44">
        <f t="shared" si="0"/>
        <v>0</v>
      </c>
      <c r="M25" s="63"/>
      <c r="N25" s="63"/>
      <c r="O25" s="63"/>
    </row>
    <row r="26" spans="1:15" x14ac:dyDescent="0.2">
      <c r="A26" s="49"/>
      <c r="B26" s="49"/>
      <c r="C26" s="49"/>
      <c r="D26" s="44"/>
      <c r="E26" s="49"/>
      <c r="F26" s="49"/>
      <c r="G26" s="44"/>
      <c r="H26" s="49"/>
      <c r="I26" s="44"/>
      <c r="J26" s="44"/>
      <c r="K26" s="49"/>
      <c r="L26" s="44">
        <f t="shared" si="0"/>
        <v>0</v>
      </c>
      <c r="M26" s="63"/>
      <c r="N26" s="63"/>
      <c r="O26" s="63"/>
    </row>
    <row r="27" spans="1:15" x14ac:dyDescent="0.2">
      <c r="A27" s="49"/>
      <c r="B27" s="49"/>
      <c r="C27" s="49"/>
      <c r="D27" s="44"/>
      <c r="E27" s="49"/>
      <c r="F27" s="49"/>
      <c r="G27" s="44"/>
      <c r="H27" s="49"/>
      <c r="I27" s="44"/>
      <c r="J27" s="44"/>
      <c r="K27" s="49"/>
      <c r="L27" s="44">
        <f t="shared" si="0"/>
        <v>0</v>
      </c>
      <c r="M27" s="63"/>
      <c r="N27" s="63"/>
      <c r="O27" s="63"/>
    </row>
    <row r="28" spans="1:15" x14ac:dyDescent="0.2">
      <c r="A28" s="49"/>
      <c r="B28" s="49"/>
      <c r="C28" s="49"/>
      <c r="D28" s="44"/>
      <c r="E28" s="49"/>
      <c r="F28" s="49"/>
      <c r="G28" s="44"/>
      <c r="H28" s="49"/>
      <c r="I28" s="44"/>
      <c r="J28" s="44"/>
      <c r="K28" s="49"/>
      <c r="L28" s="44">
        <f t="shared" si="0"/>
        <v>0</v>
      </c>
      <c r="M28" s="63"/>
      <c r="N28" s="63"/>
      <c r="O28" s="63"/>
    </row>
    <row r="29" spans="1:15" x14ac:dyDescent="0.2">
      <c r="A29" s="49"/>
      <c r="B29" s="49"/>
      <c r="C29" s="49"/>
      <c r="D29" s="44"/>
      <c r="E29" s="49"/>
      <c r="F29" s="49"/>
      <c r="G29" s="44"/>
      <c r="H29" s="49"/>
      <c r="I29" s="44"/>
      <c r="J29" s="44"/>
      <c r="K29" s="49"/>
      <c r="L29" s="44">
        <f t="shared" si="0"/>
        <v>0</v>
      </c>
      <c r="M29" s="63"/>
      <c r="N29" s="63"/>
      <c r="O29" s="63"/>
    </row>
    <row r="30" spans="1:15" x14ac:dyDescent="0.2">
      <c r="A30" s="58"/>
      <c r="B30" s="58"/>
      <c r="C30" s="58"/>
      <c r="D30" s="56"/>
      <c r="E30" s="58"/>
      <c r="F30" s="58"/>
      <c r="G30" s="56"/>
      <c r="H30" s="58"/>
      <c r="I30" s="56"/>
      <c r="J30" s="56"/>
      <c r="K30" s="58"/>
      <c r="L30" s="56">
        <f t="shared" si="0"/>
        <v>0</v>
      </c>
      <c r="M30" s="63"/>
      <c r="N30" s="63"/>
      <c r="O30" s="63"/>
    </row>
    <row r="31" spans="1:15" x14ac:dyDescent="0.2">
      <c r="A31" s="52"/>
      <c r="B31" s="52"/>
      <c r="C31" s="52"/>
      <c r="D31" s="51">
        <f>SUM(D24:D30)</f>
        <v>0</v>
      </c>
      <c r="E31" s="52"/>
      <c r="F31" s="52"/>
      <c r="G31" s="51">
        <f>SUM(G24:G30)</f>
        <v>0</v>
      </c>
      <c r="H31" s="52"/>
      <c r="I31" s="51">
        <f>SUM(I24:I30)</f>
        <v>0</v>
      </c>
      <c r="J31" s="51">
        <f>SUM(J24:J30)</f>
        <v>0</v>
      </c>
      <c r="K31" s="52"/>
      <c r="L31" s="51">
        <f>SUM(L24:L30)</f>
        <v>0</v>
      </c>
      <c r="M31" s="51"/>
      <c r="N31" s="51"/>
      <c r="O31" s="51"/>
    </row>
    <row r="33" s="23" customFormat="1" x14ac:dyDescent="0.2"/>
    <row r="34" s="23" customFormat="1" x14ac:dyDescent="0.2"/>
  </sheetData>
  <mergeCells count="1">
    <mergeCell ref="B12:E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>
      <pane ySplit="1" topLeftCell="A2" activePane="bottomLeft" state="frozen"/>
      <selection pane="bottomLeft" activeCell="D11" sqref="D11"/>
    </sheetView>
  </sheetViews>
  <sheetFormatPr baseColWidth="10" defaultColWidth="8.83203125" defaultRowHeight="15" x14ac:dyDescent="0.2"/>
  <cols>
    <col min="1" max="1" width="30.6640625" bestFit="1" customWidth="1"/>
    <col min="2" max="2" width="14.1640625" bestFit="1" customWidth="1"/>
    <col min="3" max="3" width="14" bestFit="1" customWidth="1"/>
    <col min="4" max="4" width="11.33203125" bestFit="1" customWidth="1"/>
    <col min="5" max="5" width="14.6640625" bestFit="1" customWidth="1"/>
  </cols>
  <sheetData>
    <row r="1" spans="1:5" ht="16" customHeight="1" x14ac:dyDescent="0.2">
      <c r="A1" s="1" t="s">
        <v>9</v>
      </c>
      <c r="B1" s="1" t="s">
        <v>12</v>
      </c>
      <c r="C1" s="1" t="s">
        <v>15</v>
      </c>
      <c r="D1" s="1" t="s">
        <v>18</v>
      </c>
      <c r="E1" s="1" t="s">
        <v>19</v>
      </c>
    </row>
    <row r="2" spans="1:5" x14ac:dyDescent="0.2">
      <c r="A2" s="4">
        <v>337537</v>
      </c>
      <c r="B2" s="4">
        <v>261203</v>
      </c>
      <c r="C2" s="4">
        <v>95798</v>
      </c>
      <c r="D2" s="4">
        <v>44477</v>
      </c>
      <c r="E2" s="4">
        <v>35294</v>
      </c>
    </row>
    <row r="4" spans="1:5" x14ac:dyDescent="0.2">
      <c r="A4" s="3" t="s">
        <v>64</v>
      </c>
      <c r="B4" s="5" t="s">
        <v>5</v>
      </c>
      <c r="C4" s="6"/>
      <c r="D4" s="6"/>
      <c r="E4" s="6"/>
    </row>
    <row r="5" spans="1:5" x14ac:dyDescent="0.2">
      <c r="A5" s="2" t="s">
        <v>65</v>
      </c>
      <c r="B5" s="4">
        <v>870</v>
      </c>
    </row>
    <row r="6" spans="1:5" x14ac:dyDescent="0.2">
      <c r="A6" s="2" t="s">
        <v>66</v>
      </c>
      <c r="B6" s="4">
        <v>33967</v>
      </c>
    </row>
    <row r="7" spans="1:5" x14ac:dyDescent="0.2">
      <c r="A7" s="2" t="s">
        <v>67</v>
      </c>
      <c r="B7" s="4">
        <v>2205</v>
      </c>
    </row>
    <row r="8" spans="1:5" x14ac:dyDescent="0.2">
      <c r="A8" s="2" t="s">
        <v>68</v>
      </c>
      <c r="B8" s="4">
        <v>7435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2"/>
  <sheetViews>
    <sheetView showGridLines="0" workbookViewId="0">
      <pane ySplit="1" topLeftCell="A2" activePane="bottomLeft" state="frozen"/>
      <selection pane="bottomLeft" activeCell="K14" sqref="K14"/>
    </sheetView>
  </sheetViews>
  <sheetFormatPr baseColWidth="10" defaultColWidth="8.83203125" defaultRowHeight="15" x14ac:dyDescent="0.2"/>
  <cols>
    <col min="1" max="1" width="18" bestFit="1" customWidth="1"/>
    <col min="2" max="3" width="12" customWidth="1"/>
    <col min="4" max="4" width="14" customWidth="1"/>
    <col min="5" max="5" width="10" customWidth="1"/>
    <col min="6" max="6" width="14" customWidth="1"/>
    <col min="7" max="7" width="9.33203125" bestFit="1" customWidth="1"/>
    <col min="8" max="8" width="9" bestFit="1" customWidth="1"/>
    <col min="9" max="9" width="11.33203125" bestFit="1" customWidth="1"/>
    <col min="10" max="10" width="11.33203125" style="21" customWidth="1"/>
    <col min="11" max="11" width="11.33203125" customWidth="1"/>
    <col min="12" max="12" width="11.33203125" bestFit="1" customWidth="1"/>
    <col min="13" max="13" width="12.5" customWidth="1"/>
    <col min="14" max="14" width="14" customWidth="1"/>
    <col min="15" max="15" width="14" style="7" customWidth="1"/>
  </cols>
  <sheetData>
    <row r="1" spans="1:13" ht="16" customHeight="1" x14ac:dyDescent="0.2">
      <c r="A1" s="8" t="s">
        <v>21</v>
      </c>
      <c r="B1" s="8" t="s">
        <v>47</v>
      </c>
      <c r="C1" s="8" t="s">
        <v>48</v>
      </c>
      <c r="D1" s="8" t="s">
        <v>49</v>
      </c>
      <c r="E1" s="8" t="s">
        <v>69</v>
      </c>
      <c r="F1" s="8" t="s">
        <v>52</v>
      </c>
      <c r="G1" s="8" t="s">
        <v>53</v>
      </c>
      <c r="H1" s="8" t="s">
        <v>54</v>
      </c>
      <c r="I1" s="8" t="s">
        <v>55</v>
      </c>
      <c r="J1" s="19" t="s">
        <v>56</v>
      </c>
      <c r="K1" s="9" t="s">
        <v>57</v>
      </c>
      <c r="L1" s="8" t="s">
        <v>70</v>
      </c>
      <c r="M1" s="8" t="s">
        <v>45</v>
      </c>
    </row>
    <row r="2" spans="1:13" x14ac:dyDescent="0.2">
      <c r="A2" s="10" t="s">
        <v>30</v>
      </c>
      <c r="B2" s="11">
        <f>Inputs_Mes!C2</f>
        <v>857</v>
      </c>
      <c r="C2" s="12">
        <f t="shared" ref="C2:C8" si="0">IFERROR(B2/SUM(B$2:B$8),0)</f>
        <v>0.20989468528043106</v>
      </c>
      <c r="D2" s="13">
        <f>C2*Boleta_CGE!A2</f>
        <v>70847.222385500863</v>
      </c>
      <c r="E2" s="12">
        <f t="array" ref="E2">IF(Inputs_Mes!D2="SI",1,0)/MAX(1,SUMPRODUCT(--(Inputs_Mes!D$2:D$8="SI")))</f>
        <v>0.16666666666666666</v>
      </c>
      <c r="F2" s="13">
        <f>E2*Boleta_CGE!B2</f>
        <v>43533.833333333328</v>
      </c>
      <c r="G2" s="12">
        <f t="array" ref="G2">IF(Inputs_Mes!E2="SI",1,0)/MAX(1,SUMPRODUCT(--(Inputs_Mes!E$2:E$8="SI")))</f>
        <v>0.16666666666666666</v>
      </c>
      <c r="H2" s="13">
        <f>G2*Boleta_CGE!C2</f>
        <v>15966.333333333332</v>
      </c>
      <c r="I2" s="13">
        <f>(Boleta_CGE!D2*0.5/7)+(Boleta_CGE!D2*0.5*C2)</f>
        <v>7844.6715300374381</v>
      </c>
      <c r="J2" s="20">
        <f t="array" ref="J2">IF(Inputs_Mes!F2="SI",1,0)/MAX(1,SUMPRODUCT(--(Inputs_Mes!F2:F8="SI")))</f>
        <v>0</v>
      </c>
      <c r="K2" s="13">
        <f>J2*Boleta_CGE!E2</f>
        <v>0</v>
      </c>
      <c r="L2" s="13">
        <f t="shared" ref="L2:L8" si="1">D2+F2+H2+I2+K2</f>
        <v>138192.06058220495</v>
      </c>
      <c r="M2" s="13">
        <f t="shared" ref="M2:M8" si="2">L2*1.19</f>
        <v>164448.5520928239</v>
      </c>
    </row>
    <row r="3" spans="1:13" x14ac:dyDescent="0.2">
      <c r="A3" s="10" t="s">
        <v>34</v>
      </c>
      <c r="B3" s="11">
        <f>Inputs_Mes!C3</f>
        <v>283</v>
      </c>
      <c r="C3" s="12">
        <f t="shared" si="0"/>
        <v>6.9311780553514571E-2</v>
      </c>
      <c r="D3" s="13">
        <f>C3*Boleta_CGE!A2</f>
        <v>23395.290472691649</v>
      </c>
      <c r="E3" s="12">
        <f>IF(Inputs_Mes!D3="SI",1,0)/MAX(1,SUMPRODUCT(--(Inputs_Mes!D$2:D$8="SI")))</f>
        <v>0.16666666666666666</v>
      </c>
      <c r="F3" s="13">
        <f>E3*Boleta_CGE!B2</f>
        <v>43533.833333333328</v>
      </c>
      <c r="G3" s="12">
        <f>IF(Inputs_Mes!E3="SI",1,0)/MAX(1,SUMPRODUCT(--(Inputs_Mes!E$2:E$8="SI")))</f>
        <v>0</v>
      </c>
      <c r="H3" s="13">
        <f>G3*Boleta_CGE!C2</f>
        <v>0</v>
      </c>
      <c r="I3" s="13">
        <f>(Boleta_CGE!D2*0.5/7)+(Boleta_CGE!D2*0.5*C3)</f>
        <v>4718.318603267905</v>
      </c>
      <c r="J3" s="20">
        <f>IF(Inputs_Mes!F3="SI",1,0)/MAX(1,SUMPRODUCT(--(Inputs_Mes!F2:F8="SI")))</f>
        <v>0</v>
      </c>
      <c r="K3" s="13">
        <f>J3*Boleta_CGE!E2</f>
        <v>0</v>
      </c>
      <c r="L3" s="13">
        <f t="shared" si="1"/>
        <v>71647.442409292882</v>
      </c>
      <c r="M3" s="13">
        <f t="shared" si="2"/>
        <v>85260.456467058524</v>
      </c>
    </row>
    <row r="4" spans="1:13" x14ac:dyDescent="0.2">
      <c r="A4" s="10" t="s">
        <v>36</v>
      </c>
      <c r="B4" s="11">
        <f>Inputs_Mes!C4</f>
        <v>870</v>
      </c>
      <c r="C4" s="12">
        <f t="shared" si="0"/>
        <v>0.21307861866274799</v>
      </c>
      <c r="D4" s="13">
        <f>C4*Boleta_CGE!A2</f>
        <v>71921.917707567976</v>
      </c>
      <c r="E4" s="12">
        <f>IF(Inputs_Mes!D4="SI",1,0)/MAX(1,SUMPRODUCT(--(Inputs_Mes!D$2:D$8="SI")))</f>
        <v>0.16666666666666666</v>
      </c>
      <c r="F4" s="13">
        <f>E4*Boleta_CGE!B2</f>
        <v>43533.833333333328</v>
      </c>
      <c r="G4" s="12">
        <f>IF(Inputs_Mes!E4="SI",1,0)/MAX(1,SUMPRODUCT(--(Inputs_Mes!E$2:E$8="SI")))</f>
        <v>0.16666666666666666</v>
      </c>
      <c r="H4" s="13">
        <f>G4*Boleta_CGE!C2</f>
        <v>15966.333333333332</v>
      </c>
      <c r="I4" s="13">
        <f>(Boleta_CGE!D2*0.5/7)+(Boleta_CGE!D2*0.5*C4)</f>
        <v>7915.4774325600929</v>
      </c>
      <c r="J4" s="20">
        <f>IF(Inputs_Mes!F4="SI",1,0)/MAX(1,SUMPRODUCT(--(Inputs_Mes!F2:F8="SI")))</f>
        <v>0</v>
      </c>
      <c r="K4" s="13">
        <f>J4*Boleta_CGE!E2</f>
        <v>0</v>
      </c>
      <c r="L4" s="13">
        <f t="shared" si="1"/>
        <v>139337.56180679472</v>
      </c>
      <c r="M4" s="13">
        <f t="shared" si="2"/>
        <v>165811.69855008571</v>
      </c>
    </row>
    <row r="5" spans="1:13" x14ac:dyDescent="0.2">
      <c r="A5" s="10" t="s">
        <v>38</v>
      </c>
      <c r="B5" s="11">
        <f>Inputs_Mes!C5</f>
        <v>300</v>
      </c>
      <c r="C5" s="12">
        <f t="shared" si="0"/>
        <v>7.3475385745775168E-2</v>
      </c>
      <c r="D5" s="13">
        <f>C5*Boleta_CGE!A2</f>
        <v>24800.661278471714</v>
      </c>
      <c r="E5" s="12">
        <f>IF(Inputs_Mes!D5="SI",1,0)/MAX(1,SUMPRODUCT(--(Inputs_Mes!D$2:D$8="SI")))</f>
        <v>0.16666666666666666</v>
      </c>
      <c r="F5" s="13">
        <f>E5*Boleta_CGE!B2</f>
        <v>43533.833333333328</v>
      </c>
      <c r="G5" s="12">
        <f>IF(Inputs_Mes!E5="SI",1,0)/MAX(1,SUMPRODUCT(--(Inputs_Mes!E$2:E$8="SI")))</f>
        <v>0.16666666666666666</v>
      </c>
      <c r="H5" s="13">
        <f>G5*Boleta_CGE!C2</f>
        <v>15966.333333333332</v>
      </c>
      <c r="I5" s="13">
        <f>(Boleta_CGE!D2*0.5/7)+(Boleta_CGE!D2*0.5*C5)</f>
        <v>4810.9109373359925</v>
      </c>
      <c r="J5" s="20">
        <f>IF(Inputs_Mes!F5="SI",1,0)/MAX(1,SUMPRODUCT(--(Inputs_Mes!F2:F8="SI")))</f>
        <v>0</v>
      </c>
      <c r="K5" s="13">
        <f>J5*Boleta_CGE!E2</f>
        <v>0</v>
      </c>
      <c r="L5" s="13">
        <f t="shared" si="1"/>
        <v>89111.738882474368</v>
      </c>
      <c r="M5" s="13">
        <f t="shared" si="2"/>
        <v>106042.96927014449</v>
      </c>
    </row>
    <row r="6" spans="1:13" x14ac:dyDescent="0.2">
      <c r="A6" s="10" t="s">
        <v>39</v>
      </c>
      <c r="B6" s="11">
        <f>Inputs_Mes!C6</f>
        <v>508</v>
      </c>
      <c r="C6" s="12">
        <f t="shared" si="0"/>
        <v>0.12441831986284595</v>
      </c>
      <c r="D6" s="13">
        <f>C6*Boleta_CGE!A2</f>
        <v>41995.786431545435</v>
      </c>
      <c r="E6" s="12">
        <f>IF(Inputs_Mes!D6="SI",1,0)/MAX(1,SUMPRODUCT(--(Inputs_Mes!D$2:D$8="SI")))</f>
        <v>0</v>
      </c>
      <c r="F6" s="13">
        <f>E6*Boleta_CGE!B2</f>
        <v>0</v>
      </c>
      <c r="G6" s="12">
        <f>IF(Inputs_Mes!E6="SI",1,0)/MAX(1,SUMPRODUCT(--(Inputs_Mes!E$2:E$8="SI")))</f>
        <v>0.16666666666666666</v>
      </c>
      <c r="H6" s="13">
        <f>G6*Boleta_CGE!C2</f>
        <v>15966.333333333332</v>
      </c>
      <c r="I6" s="13">
        <f>(Boleta_CGE!D2*0.5/7)+(Boleta_CGE!D2*0.5*C6)</f>
        <v>5943.8053776984707</v>
      </c>
      <c r="J6" s="20">
        <f>IF(Inputs_Mes!F6="SI",1,0)/MAX(1,SUMPRODUCT(--(Inputs_Mes!F2:F8="SI")))</f>
        <v>0</v>
      </c>
      <c r="K6" s="13">
        <f>J6*Boleta_CGE!E2</f>
        <v>0</v>
      </c>
      <c r="L6" s="13">
        <f t="shared" si="1"/>
        <v>63905.925142577238</v>
      </c>
      <c r="M6" s="13">
        <f t="shared" si="2"/>
        <v>76048.050919666915</v>
      </c>
    </row>
    <row r="7" spans="1:13" x14ac:dyDescent="0.2">
      <c r="A7" s="10" t="s">
        <v>41</v>
      </c>
      <c r="B7" s="11">
        <f>Inputs_Mes!C7</f>
        <v>900</v>
      </c>
      <c r="C7" s="12">
        <f t="shared" si="0"/>
        <v>0.2204261572373255</v>
      </c>
      <c r="D7" s="13">
        <f>C7*Boleta_CGE!A2</f>
        <v>74401.983835415143</v>
      </c>
      <c r="E7" s="12">
        <f>IF(Inputs_Mes!D7="SI",1,0)/MAX(1,SUMPRODUCT(--(Inputs_Mes!D$2:D$8="SI")))</f>
        <v>0.16666666666666666</v>
      </c>
      <c r="F7" s="13">
        <f>E7*Boleta_CGE!B2</f>
        <v>43533.833333333328</v>
      </c>
      <c r="G7" s="12">
        <f>IF(Inputs_Mes!E7="SI",1,0)/MAX(1,SUMPRODUCT(--(Inputs_Mes!E$2:E$8="SI")))</f>
        <v>0.16666666666666666</v>
      </c>
      <c r="H7" s="13">
        <f>G7*Boleta_CGE!C2</f>
        <v>15966.333333333332</v>
      </c>
      <c r="I7" s="13">
        <f>(Boleta_CGE!D2*0.5/7)+(Boleta_CGE!D2*0.5*C7)</f>
        <v>8078.8756691508352</v>
      </c>
      <c r="J7" s="20">
        <f>IF(Inputs_Mes!F7="SI",1,0)/MAX(1,SUMPRODUCT(--(Inputs_Mes!F2:F8="SI")))</f>
        <v>1</v>
      </c>
      <c r="K7" s="13">
        <f>J7*Boleta_CGE!E2</f>
        <v>35294</v>
      </c>
      <c r="L7" s="13">
        <f t="shared" si="1"/>
        <v>177275.02617123266</v>
      </c>
      <c r="M7" s="13">
        <f t="shared" si="2"/>
        <v>210957.28114376686</v>
      </c>
    </row>
    <row r="8" spans="1:13" x14ac:dyDescent="0.2">
      <c r="A8" s="10" t="s">
        <v>43</v>
      </c>
      <c r="B8" s="11">
        <f>Inputs_Mes!C8</f>
        <v>365</v>
      </c>
      <c r="C8" s="12">
        <f t="shared" si="0"/>
        <v>8.939505265735978E-2</v>
      </c>
      <c r="D8" s="13">
        <f>C8*Boleta_CGE!A2</f>
        <v>30174.137888807247</v>
      </c>
      <c r="E8" s="12">
        <f>IF(Inputs_Mes!D8="SI",1,0)/MAX(1,SUMPRODUCT(--(Inputs_Mes!D$2:D$8="SI")))</f>
        <v>0.16666666666666666</v>
      </c>
      <c r="F8" s="13">
        <f>E8*Boleta_CGE!B2</f>
        <v>43533.833333333328</v>
      </c>
      <c r="G8" s="12">
        <f>IF(Inputs_Mes!E8="SI",1,0)/MAX(1,SUMPRODUCT(--(Inputs_Mes!E$2:E$8="SI")))</f>
        <v>0.16666666666666666</v>
      </c>
      <c r="H8" s="13">
        <f>G8*Boleta_CGE!C2</f>
        <v>15966.333333333332</v>
      </c>
      <c r="I8" s="13">
        <f>(Boleta_CGE!D2*0.5/7)+(Boleta_CGE!D2*0.5*C8)</f>
        <v>5164.9404499492666</v>
      </c>
      <c r="J8" s="20">
        <f>IF(Inputs_Mes!F8="SI",1,0)/MAX(1,SUMPRODUCT(--(Inputs_Mes!F2:F8="SI")))</f>
        <v>0</v>
      </c>
      <c r="K8" s="13">
        <f>J8*Boleta_CGE!E2</f>
        <v>0</v>
      </c>
      <c r="L8" s="13">
        <f t="shared" si="1"/>
        <v>94839.245005423174</v>
      </c>
      <c r="M8" s="13">
        <f t="shared" si="2"/>
        <v>112858.70155645357</v>
      </c>
    </row>
    <row r="9" spans="1:13" x14ac:dyDescent="0.2">
      <c r="K9" s="7"/>
    </row>
    <row r="10" spans="1:13" x14ac:dyDescent="0.2">
      <c r="A10" s="14" t="s">
        <v>45</v>
      </c>
      <c r="B10" s="15">
        <f>SUM(B2:B8)</f>
        <v>4083</v>
      </c>
      <c r="C10" s="16"/>
      <c r="D10" s="17">
        <f>SUM(D2:D8)</f>
        <v>337537</v>
      </c>
      <c r="E10" s="18"/>
      <c r="F10" s="17">
        <f>SUM(F2:F8)</f>
        <v>261202.99999999994</v>
      </c>
      <c r="G10" s="18"/>
      <c r="H10" s="17">
        <f>SUM(H2:H8)</f>
        <v>95797.999999999985</v>
      </c>
      <c r="I10" s="17">
        <f>SUM(I2:I8)</f>
        <v>44477</v>
      </c>
      <c r="J10" s="20"/>
      <c r="K10" s="17">
        <f>SUM(K2:K8)</f>
        <v>35294</v>
      </c>
      <c r="L10" s="17">
        <f>SUM(L2:L8)</f>
        <v>774309.00000000012</v>
      </c>
      <c r="M10" s="22">
        <f>L10*1.19</f>
        <v>921427.71000000008</v>
      </c>
    </row>
    <row r="12" spans="1:13" x14ac:dyDescent="0.2">
      <c r="A12" s="3" t="s">
        <v>71</v>
      </c>
      <c r="B12" s="73" t="s">
        <v>72</v>
      </c>
      <c r="C12" s="74"/>
      <c r="D12" s="74"/>
      <c r="E12" s="74"/>
      <c r="F12" s="74"/>
      <c r="G12" s="74"/>
      <c r="H12" s="74"/>
      <c r="I12" s="74"/>
      <c r="J12" s="74"/>
      <c r="K12" s="74"/>
      <c r="L12" s="75"/>
    </row>
  </sheetData>
  <mergeCells count="1">
    <mergeCell ref="B12:L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FEB-2026</vt:lpstr>
      <vt:lpstr>MAR-2026</vt:lpstr>
      <vt:lpstr>ABR-20226</vt:lpstr>
      <vt:lpstr>Inputs_Mes</vt:lpstr>
      <vt:lpstr>Boleta_CGE</vt:lpstr>
      <vt:lpstr>Liquidacion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Externo Jonathan Patricio Mac-kay Parra</cp:lastModifiedBy>
  <dcterms:created xsi:type="dcterms:W3CDTF">2026-02-06T14:48:08Z</dcterms:created>
  <dcterms:modified xsi:type="dcterms:W3CDTF">2026-02-06T18:04:13Z</dcterms:modified>
</cp:coreProperties>
</file>